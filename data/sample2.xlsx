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D:\web &amp; customers\for dreamweaver\linodemc\secure.mortgagecalculator.org\htdocs\"/>
    </mc:Choice>
  </mc:AlternateContent>
  <xr:revisionPtr revIDLastSave="5" documentId="10_ncr:8100000_{F3DA8F1E-E2A3-4F48-A2EA-26FDD54317D4}" xr6:coauthVersionLast="47" xr6:coauthVersionMax="47" xr10:uidLastSave="{A091CF12-F144-4086-AA03-D439515B373C}"/>
  <bookViews>
    <workbookView xWindow="0" yWindow="0" windowWidth="24000" windowHeight="11715" xr2:uid="{00000000-000D-0000-FFFF-FFFF00000000}"/>
  </bookViews>
  <sheets>
    <sheet name="Excel Amortization Schedule" sheetId="2" r:id="rId1"/>
  </sheets>
  <definedNames>
    <definedName name="ActualNumberOfPayments">IFERROR(IF(LoanIsGood,IF(PaymentsPerYear=1,1,MATCH(0.01,End_Bal,-1)+1)),"")</definedName>
    <definedName name="ColumnTitle1">PaymentSchedule[[#Headers],[PMT NO]]</definedName>
    <definedName name="End_Bal">PaymentSchedule[ENDING BALANCE]</definedName>
    <definedName name="ExtraPayments">'Excel Amortization Schedule'!$E$14</definedName>
    <definedName name="InterestRate">'Excel Amortization Schedule'!$E$9</definedName>
    <definedName name="LastCol">MATCH(REPT("z",255),'Excel Amortization Schedule'!$16:$16)</definedName>
    <definedName name="LastRow">MATCH(9.99E+307,'Excel Amortization Schedule'!$B:$B)</definedName>
    <definedName name="LenderName">'Excel Amortization Schedule'!$H$14:$I$14</definedName>
    <definedName name="LoanAmount">'Excel Amortization Schedule'!$E$8</definedName>
    <definedName name="LoanIsGood">('Excel Amortization Schedule'!$E$8*'Excel Amortization Schedule'!$E$9*'Excel Amortization Schedule'!$E$10*'Excel Amortization Schedule'!$E$12)&gt;0</definedName>
    <definedName name="LoanPeriod">'Excel Amortization Schedule'!$E$10</definedName>
    <definedName name="LoanStartDate">'Excel Amortization Schedule'!$E$12</definedName>
    <definedName name="PaymentsPerYear">'Excel Amortization Schedule'!$E$11</definedName>
    <definedName name="_xlnm.Print_Titles" localSheetId="0">'Excel Amortization Schedule'!$16:$16</definedName>
    <definedName name="PrintArea_SET">OFFSET('Excel Amortization Schedule'!$B$6,,,LastRow,LastCol)</definedName>
    <definedName name="RowTitleRegion1..E9">'Excel Amortization Schedule'!$C$8:$D$8</definedName>
    <definedName name="RowTitleRegion2..I7">'Excel Amortization Schedule'!$G$8:$H$8</definedName>
    <definedName name="RowTitleRegion3..E9">'Excel Amortization Schedule'!$C$14</definedName>
    <definedName name="RowTitleRegion4..H9">'Excel Amortization Schedule'!$G$14</definedName>
    <definedName name="ScheduledNumberOfPayments">'Excel Amortization Schedule'!$I$9</definedName>
    <definedName name="ScheduledPayment">'Excel Amortization Schedule'!$I$8</definedName>
    <definedName name="TotalEarlyPayments">SUM(PaymentSchedule[EXTRA PAYMENT])</definedName>
    <definedName name="TotalInterest">SUM(PaymentSchedule[INTEREST])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2" l="1"/>
  <c r="I9" i="2" l="1"/>
  <c r="B27" i="2" l="1"/>
  <c r="B29" i="2"/>
  <c r="B31" i="2"/>
  <c r="B33" i="2"/>
  <c r="B35" i="2"/>
  <c r="B37" i="2"/>
  <c r="B39" i="2"/>
  <c r="B41" i="2"/>
  <c r="B43" i="2"/>
  <c r="B45" i="2"/>
  <c r="B28" i="2"/>
  <c r="B30" i="2"/>
  <c r="B32" i="2"/>
  <c r="B34" i="2"/>
  <c r="B36" i="2"/>
  <c r="B38" i="2"/>
  <c r="B40" i="2"/>
  <c r="B42" i="2"/>
  <c r="B44" i="2"/>
  <c r="B46" i="2"/>
  <c r="B48" i="2"/>
  <c r="B47" i="2"/>
  <c r="B54" i="2"/>
  <c r="B55" i="2"/>
  <c r="B52" i="2"/>
  <c r="B53" i="2"/>
  <c r="B50" i="2"/>
  <c r="B51" i="2"/>
  <c r="B58" i="2"/>
  <c r="B59" i="2"/>
  <c r="B62" i="2"/>
  <c r="B63" i="2"/>
  <c r="B70" i="2"/>
  <c r="B71" i="2"/>
  <c r="B78" i="2"/>
  <c r="B79" i="2"/>
  <c r="B80" i="2"/>
  <c r="B82" i="2"/>
  <c r="B84" i="2"/>
  <c r="B86" i="2"/>
  <c r="B88" i="2"/>
  <c r="B90" i="2"/>
  <c r="B92" i="2"/>
  <c r="B94" i="2"/>
  <c r="B61" i="2"/>
  <c r="B68" i="2"/>
  <c r="B69" i="2"/>
  <c r="B76" i="2"/>
  <c r="B77" i="2"/>
  <c r="B66" i="2"/>
  <c r="B67" i="2"/>
  <c r="B74" i="2"/>
  <c r="B75" i="2"/>
  <c r="B81" i="2"/>
  <c r="B83" i="2"/>
  <c r="B85" i="2"/>
  <c r="B87" i="2"/>
  <c r="B89" i="2"/>
  <c r="B91" i="2"/>
  <c r="B93" i="2"/>
  <c r="B95" i="2"/>
  <c r="B97" i="2"/>
  <c r="B99" i="2"/>
  <c r="B101" i="2"/>
  <c r="B103" i="2"/>
  <c r="B105" i="2"/>
  <c r="B107" i="2"/>
  <c r="B109" i="2"/>
  <c r="B111" i="2"/>
  <c r="B113" i="2"/>
  <c r="B115" i="2"/>
  <c r="B117" i="2"/>
  <c r="B57" i="2"/>
  <c r="B65" i="2"/>
  <c r="B98" i="2"/>
  <c r="B106" i="2"/>
  <c r="B114" i="2"/>
  <c r="B118" i="2"/>
  <c r="B120" i="2"/>
  <c r="B122" i="2"/>
  <c r="B124" i="2"/>
  <c r="B126" i="2"/>
  <c r="B128" i="2"/>
  <c r="B130" i="2"/>
  <c r="B132" i="2"/>
  <c r="B134" i="2"/>
  <c r="B136" i="2"/>
  <c r="B72" i="2"/>
  <c r="B96" i="2"/>
  <c r="B104" i="2"/>
  <c r="B112" i="2"/>
  <c r="B64" i="2"/>
  <c r="B102" i="2"/>
  <c r="B110" i="2"/>
  <c r="B119" i="2"/>
  <c r="B121" i="2"/>
  <c r="B123" i="2"/>
  <c r="B125" i="2"/>
  <c r="B127" i="2"/>
  <c r="B129" i="2"/>
  <c r="B131" i="2"/>
  <c r="B133" i="2"/>
  <c r="B135" i="2"/>
  <c r="B137" i="2"/>
  <c r="B139" i="2"/>
  <c r="B141" i="2"/>
  <c r="B143" i="2"/>
  <c r="B145" i="2"/>
  <c r="B147" i="2"/>
  <c r="B149" i="2"/>
  <c r="B151" i="2"/>
  <c r="B153" i="2"/>
  <c r="B155" i="2"/>
  <c r="B157" i="2"/>
  <c r="B159" i="2"/>
  <c r="B49" i="2"/>
  <c r="B73" i="2"/>
  <c r="B116" i="2"/>
  <c r="B146" i="2"/>
  <c r="B154" i="2"/>
  <c r="B56" i="2"/>
  <c r="B108" i="2"/>
  <c r="B140" i="2"/>
  <c r="B144" i="2"/>
  <c r="B152" i="2"/>
  <c r="B160" i="2"/>
  <c r="B162" i="2"/>
  <c r="B164" i="2"/>
  <c r="B166" i="2"/>
  <c r="B168" i="2"/>
  <c r="B170" i="2"/>
  <c r="B172" i="2"/>
  <c r="B174" i="2"/>
  <c r="B176" i="2"/>
  <c r="B178" i="2"/>
  <c r="B180" i="2"/>
  <c r="B182" i="2"/>
  <c r="B184" i="2"/>
  <c r="B60" i="2"/>
  <c r="B100" i="2"/>
  <c r="B150" i="2"/>
  <c r="B158" i="2"/>
  <c r="B138" i="2"/>
  <c r="B161" i="2"/>
  <c r="B169" i="2"/>
  <c r="B177" i="2"/>
  <c r="B187" i="2"/>
  <c r="B191" i="2"/>
  <c r="B195" i="2"/>
  <c r="B199" i="2"/>
  <c r="B203" i="2"/>
  <c r="B204" i="2"/>
  <c r="B211" i="2"/>
  <c r="B212" i="2"/>
  <c r="B219" i="2"/>
  <c r="B220" i="2"/>
  <c r="B227" i="2"/>
  <c r="B228" i="2"/>
  <c r="B229" i="2"/>
  <c r="B231" i="2"/>
  <c r="B233" i="2"/>
  <c r="B235" i="2"/>
  <c r="B237" i="2"/>
  <c r="B239" i="2"/>
  <c r="B241" i="2"/>
  <c r="B243" i="2"/>
  <c r="B245" i="2"/>
  <c r="B247" i="2"/>
  <c r="B142" i="2"/>
  <c r="B163" i="2"/>
  <c r="B171" i="2"/>
  <c r="B179" i="2"/>
  <c r="B188" i="2"/>
  <c r="B192" i="2"/>
  <c r="B196" i="2"/>
  <c r="B200" i="2"/>
  <c r="B202" i="2"/>
  <c r="B209" i="2"/>
  <c r="B210" i="2"/>
  <c r="B217" i="2"/>
  <c r="B218" i="2"/>
  <c r="B225" i="2"/>
  <c r="B226" i="2"/>
  <c r="B156" i="2"/>
  <c r="B165" i="2"/>
  <c r="B173" i="2"/>
  <c r="B181" i="2"/>
  <c r="B185" i="2"/>
  <c r="B189" i="2"/>
  <c r="B193" i="2"/>
  <c r="B197" i="2"/>
  <c r="B201" i="2"/>
  <c r="B207" i="2"/>
  <c r="B208" i="2"/>
  <c r="B215" i="2"/>
  <c r="B216" i="2"/>
  <c r="B223" i="2"/>
  <c r="B224" i="2"/>
  <c r="B230" i="2"/>
  <c r="B232" i="2"/>
  <c r="B234" i="2"/>
  <c r="B236" i="2"/>
  <c r="B238" i="2"/>
  <c r="B240" i="2"/>
  <c r="B242" i="2"/>
  <c r="B244" i="2"/>
  <c r="B246" i="2"/>
  <c r="B248" i="2"/>
  <c r="B250" i="2"/>
  <c r="B252" i="2"/>
  <c r="B254" i="2"/>
  <c r="B256" i="2"/>
  <c r="B258" i="2"/>
  <c r="B260" i="2"/>
  <c r="B262" i="2"/>
  <c r="B264" i="2"/>
  <c r="B266" i="2"/>
  <c r="B268" i="2"/>
  <c r="B270" i="2"/>
  <c r="B272" i="2"/>
  <c r="B167" i="2"/>
  <c r="B198" i="2"/>
  <c r="B214" i="2"/>
  <c r="B257" i="2"/>
  <c r="B265" i="2"/>
  <c r="B274" i="2"/>
  <c r="B276" i="2"/>
  <c r="B278" i="2"/>
  <c r="B280" i="2"/>
  <c r="B282" i="2"/>
  <c r="B284" i="2"/>
  <c r="B286" i="2"/>
  <c r="B288" i="2"/>
  <c r="B290" i="2"/>
  <c r="B292" i="2"/>
  <c r="B294" i="2"/>
  <c r="B296" i="2"/>
  <c r="B298" i="2"/>
  <c r="B300" i="2"/>
  <c r="B302" i="2"/>
  <c r="B304" i="2"/>
  <c r="B306" i="2"/>
  <c r="B308" i="2"/>
  <c r="B310" i="2"/>
  <c r="B312" i="2"/>
  <c r="B314" i="2"/>
  <c r="B316" i="2"/>
  <c r="B318" i="2"/>
  <c r="B320" i="2"/>
  <c r="B322" i="2"/>
  <c r="B324" i="2"/>
  <c r="B326" i="2"/>
  <c r="B328" i="2"/>
  <c r="B330" i="2"/>
  <c r="B332" i="2"/>
  <c r="B334" i="2"/>
  <c r="B336" i="2"/>
  <c r="B338" i="2"/>
  <c r="B340" i="2"/>
  <c r="B342" i="2"/>
  <c r="B344" i="2"/>
  <c r="B346" i="2"/>
  <c r="B348" i="2"/>
  <c r="B350" i="2"/>
  <c r="B352" i="2"/>
  <c r="B354" i="2"/>
  <c r="B175" i="2"/>
  <c r="B186" i="2"/>
  <c r="B206" i="2"/>
  <c r="B221" i="2"/>
  <c r="B251" i="2"/>
  <c r="B255" i="2"/>
  <c r="B263" i="2"/>
  <c r="B271" i="2"/>
  <c r="B148" i="2"/>
  <c r="B183" i="2"/>
  <c r="B190" i="2"/>
  <c r="B213" i="2"/>
  <c r="B261" i="2"/>
  <c r="B269" i="2"/>
  <c r="B273" i="2"/>
  <c r="B275" i="2"/>
  <c r="B277" i="2"/>
  <c r="B279" i="2"/>
  <c r="B281" i="2"/>
  <c r="B283" i="2"/>
  <c r="B285" i="2"/>
  <c r="B287" i="2"/>
  <c r="B289" i="2"/>
  <c r="B291" i="2"/>
  <c r="B293" i="2"/>
  <c r="B295" i="2"/>
  <c r="B297" i="2"/>
  <c r="B299" i="2"/>
  <c r="B301" i="2"/>
  <c r="B303" i="2"/>
  <c r="B305" i="2"/>
  <c r="B307" i="2"/>
  <c r="B309" i="2"/>
  <c r="B311" i="2"/>
  <c r="B313" i="2"/>
  <c r="B315" i="2"/>
  <c r="B317" i="2"/>
  <c r="B319" i="2"/>
  <c r="B321" i="2"/>
  <c r="B323" i="2"/>
  <c r="B325" i="2"/>
  <c r="B327" i="2"/>
  <c r="B329" i="2"/>
  <c r="B331" i="2"/>
  <c r="B333" i="2"/>
  <c r="B335" i="2"/>
  <c r="B337" i="2"/>
  <c r="B339" i="2"/>
  <c r="B341" i="2"/>
  <c r="B343" i="2"/>
  <c r="B345" i="2"/>
  <c r="B347" i="2"/>
  <c r="B349" i="2"/>
  <c r="B351" i="2"/>
  <c r="B353" i="2"/>
  <c r="B355" i="2"/>
  <c r="B357" i="2"/>
  <c r="B359" i="2"/>
  <c r="B361" i="2"/>
  <c r="B363" i="2"/>
  <c r="B365" i="2"/>
  <c r="B367" i="2"/>
  <c r="B369" i="2"/>
  <c r="B371" i="2"/>
  <c r="B373" i="2"/>
  <c r="B267" i="2"/>
  <c r="B356" i="2"/>
  <c r="B360" i="2"/>
  <c r="B364" i="2"/>
  <c r="B368" i="2"/>
  <c r="B372" i="2"/>
  <c r="B375" i="2"/>
  <c r="B376" i="2"/>
  <c r="B259" i="2"/>
  <c r="B194" i="2"/>
  <c r="B205" i="2"/>
  <c r="B222" i="2"/>
  <c r="B249" i="2"/>
  <c r="B358" i="2"/>
  <c r="B362" i="2"/>
  <c r="B366" i="2"/>
  <c r="B370" i="2"/>
  <c r="B374" i="2"/>
  <c r="B253" i="2"/>
  <c r="B25" i="2"/>
  <c r="B24" i="2"/>
  <c r="B17" i="2"/>
  <c r="D17" i="2" s="1"/>
  <c r="I8" i="2"/>
  <c r="B23" i="2"/>
  <c r="B22" i="2"/>
  <c r="B21" i="2"/>
  <c r="B20" i="2"/>
  <c r="B19" i="2"/>
  <c r="B26" i="2"/>
  <c r="B18" i="2"/>
  <c r="C249" i="2" l="1"/>
  <c r="E249" i="2"/>
  <c r="C267" i="2"/>
  <c r="E267" i="2"/>
  <c r="E351" i="2"/>
  <c r="C351" i="2"/>
  <c r="E327" i="2"/>
  <c r="C327" i="2"/>
  <c r="E303" i="2"/>
  <c r="C303" i="2"/>
  <c r="E279" i="2"/>
  <c r="C279" i="2"/>
  <c r="C255" i="2"/>
  <c r="E255" i="2"/>
  <c r="C342" i="2"/>
  <c r="E342" i="2"/>
  <c r="C318" i="2"/>
  <c r="E318" i="2"/>
  <c r="C294" i="2"/>
  <c r="E294" i="2"/>
  <c r="C257" i="2"/>
  <c r="E257" i="2"/>
  <c r="C256" i="2"/>
  <c r="E256" i="2"/>
  <c r="E232" i="2"/>
  <c r="C232" i="2"/>
  <c r="C185" i="2"/>
  <c r="E185" i="2"/>
  <c r="E200" i="2"/>
  <c r="C200" i="2"/>
  <c r="C239" i="2"/>
  <c r="E239" i="2"/>
  <c r="C204" i="2"/>
  <c r="E204" i="2"/>
  <c r="C161" i="2"/>
  <c r="E161" i="2"/>
  <c r="E172" i="2"/>
  <c r="C172" i="2"/>
  <c r="C154" i="2"/>
  <c r="E154" i="2"/>
  <c r="C145" i="2"/>
  <c r="E145" i="2"/>
  <c r="E129" i="2"/>
  <c r="C129" i="2"/>
  <c r="E121" i="2"/>
  <c r="C121" i="2"/>
  <c r="E72" i="2"/>
  <c r="C72" i="2"/>
  <c r="C130" i="2"/>
  <c r="E130" i="2"/>
  <c r="C106" i="2"/>
  <c r="E106" i="2"/>
  <c r="E117" i="2"/>
  <c r="C117" i="2"/>
  <c r="E109" i="2"/>
  <c r="C109" i="2"/>
  <c r="E101" i="2"/>
  <c r="C101" i="2"/>
  <c r="E93" i="2"/>
  <c r="C93" i="2"/>
  <c r="E85" i="2"/>
  <c r="C85" i="2"/>
  <c r="E74" i="2"/>
  <c r="C74" i="2"/>
  <c r="E76" i="2"/>
  <c r="C76" i="2"/>
  <c r="C94" i="2"/>
  <c r="E94" i="2"/>
  <c r="C86" i="2"/>
  <c r="E86" i="2"/>
  <c r="C79" i="2"/>
  <c r="E79" i="2"/>
  <c r="C63" i="2"/>
  <c r="E63" i="2"/>
  <c r="C51" i="2"/>
  <c r="E51" i="2"/>
  <c r="C55" i="2"/>
  <c r="E55" i="2"/>
  <c r="E46" i="2"/>
  <c r="C46" i="2"/>
  <c r="E38" i="2"/>
  <c r="C38" i="2"/>
  <c r="E30" i="2"/>
  <c r="C30" i="2"/>
  <c r="C41" i="2"/>
  <c r="E41" i="2"/>
  <c r="C33" i="2"/>
  <c r="E33" i="2"/>
  <c r="C366" i="2"/>
  <c r="E366" i="2"/>
  <c r="C222" i="2"/>
  <c r="E222" i="2"/>
  <c r="C376" i="2"/>
  <c r="E376" i="2"/>
  <c r="C364" i="2"/>
  <c r="E364" i="2"/>
  <c r="E373" i="2"/>
  <c r="C373" i="2"/>
  <c r="E365" i="2"/>
  <c r="C365" i="2"/>
  <c r="E357" i="2"/>
  <c r="C357" i="2"/>
  <c r="E349" i="2"/>
  <c r="C349" i="2"/>
  <c r="E341" i="2"/>
  <c r="C341" i="2"/>
  <c r="E333" i="2"/>
  <c r="C333" i="2"/>
  <c r="E325" i="2"/>
  <c r="C325" i="2"/>
  <c r="E317" i="2"/>
  <c r="C317" i="2"/>
  <c r="E309" i="2"/>
  <c r="C309" i="2"/>
  <c r="E301" i="2"/>
  <c r="C301" i="2"/>
  <c r="E293" i="2"/>
  <c r="C293" i="2"/>
  <c r="E285" i="2"/>
  <c r="C285" i="2"/>
  <c r="E277" i="2"/>
  <c r="C277" i="2"/>
  <c r="E261" i="2"/>
  <c r="C261" i="2"/>
  <c r="C148" i="2"/>
  <c r="E148" i="2"/>
  <c r="C251" i="2"/>
  <c r="E251" i="2"/>
  <c r="C175" i="2"/>
  <c r="E175" i="2"/>
  <c r="C348" i="2"/>
  <c r="E348" i="2"/>
  <c r="C340" i="2"/>
  <c r="E340" i="2"/>
  <c r="C332" i="2"/>
  <c r="E332" i="2"/>
  <c r="C324" i="2"/>
  <c r="E324" i="2"/>
  <c r="C316" i="2"/>
  <c r="E316" i="2"/>
  <c r="C308" i="2"/>
  <c r="E308" i="2"/>
  <c r="C300" i="2"/>
  <c r="E300" i="2"/>
  <c r="C292" i="2"/>
  <c r="E292" i="2"/>
  <c r="C284" i="2"/>
  <c r="E284" i="2"/>
  <c r="C276" i="2"/>
  <c r="E276" i="2"/>
  <c r="C214" i="2"/>
  <c r="E214" i="2"/>
  <c r="E270" i="2"/>
  <c r="C270" i="2"/>
  <c r="E262" i="2"/>
  <c r="C262" i="2"/>
  <c r="E254" i="2"/>
  <c r="C254" i="2"/>
  <c r="E246" i="2"/>
  <c r="C246" i="2"/>
  <c r="E238" i="2"/>
  <c r="C238" i="2"/>
  <c r="E230" i="2"/>
  <c r="C230" i="2"/>
  <c r="E215" i="2"/>
  <c r="C215" i="2"/>
  <c r="C197" i="2"/>
  <c r="E197" i="2"/>
  <c r="C181" i="2"/>
  <c r="E181" i="2"/>
  <c r="C226" i="2"/>
  <c r="E226" i="2"/>
  <c r="C210" i="2"/>
  <c r="E210" i="2"/>
  <c r="E196" i="2"/>
  <c r="C196" i="2"/>
  <c r="C171" i="2"/>
  <c r="E171" i="2"/>
  <c r="C245" i="2"/>
  <c r="E245" i="2"/>
  <c r="C237" i="2"/>
  <c r="E237" i="2"/>
  <c r="C229" i="2"/>
  <c r="E229" i="2"/>
  <c r="E219" i="2"/>
  <c r="C219" i="2"/>
  <c r="E203" i="2"/>
  <c r="C203" i="2"/>
  <c r="C187" i="2"/>
  <c r="E187" i="2"/>
  <c r="C138" i="2"/>
  <c r="E138" i="2"/>
  <c r="E60" i="2"/>
  <c r="C60" i="2"/>
  <c r="E178" i="2"/>
  <c r="C178" i="2"/>
  <c r="E170" i="2"/>
  <c r="C170" i="2"/>
  <c r="E162" i="2"/>
  <c r="C162" i="2"/>
  <c r="C140" i="2"/>
  <c r="E140" i="2"/>
  <c r="C146" i="2"/>
  <c r="E146" i="2"/>
  <c r="E159" i="2"/>
  <c r="C159" i="2"/>
  <c r="E151" i="2"/>
  <c r="C151" i="2"/>
  <c r="E143" i="2"/>
  <c r="C143" i="2"/>
  <c r="E135" i="2"/>
  <c r="C135" i="2"/>
  <c r="E127" i="2"/>
  <c r="C127" i="2"/>
  <c r="E119" i="2"/>
  <c r="C119" i="2"/>
  <c r="C112" i="2"/>
  <c r="E112" i="2"/>
  <c r="C136" i="2"/>
  <c r="E136" i="2"/>
  <c r="C128" i="2"/>
  <c r="E128" i="2"/>
  <c r="C120" i="2"/>
  <c r="E120" i="2"/>
  <c r="C98" i="2"/>
  <c r="E98" i="2"/>
  <c r="C115" i="2"/>
  <c r="E115" i="2"/>
  <c r="C107" i="2"/>
  <c r="E107" i="2"/>
  <c r="C99" i="2"/>
  <c r="E99" i="2"/>
  <c r="E91" i="2"/>
  <c r="C91" i="2"/>
  <c r="E83" i="2"/>
  <c r="C83" i="2"/>
  <c r="C67" i="2"/>
  <c r="E67" i="2"/>
  <c r="C69" i="2"/>
  <c r="E69" i="2"/>
  <c r="C92" i="2"/>
  <c r="E92" i="2"/>
  <c r="C84" i="2"/>
  <c r="E84" i="2"/>
  <c r="E78" i="2"/>
  <c r="C78" i="2"/>
  <c r="E62" i="2"/>
  <c r="C62" i="2"/>
  <c r="E50" i="2"/>
  <c r="C50" i="2"/>
  <c r="E54" i="2"/>
  <c r="C54" i="2"/>
  <c r="E44" i="2"/>
  <c r="C44" i="2"/>
  <c r="E36" i="2"/>
  <c r="C36" i="2"/>
  <c r="E28" i="2"/>
  <c r="C28" i="2"/>
  <c r="C39" i="2"/>
  <c r="E39" i="2"/>
  <c r="C31" i="2"/>
  <c r="E31" i="2"/>
  <c r="C370" i="2"/>
  <c r="E370" i="2"/>
  <c r="C368" i="2"/>
  <c r="E368" i="2"/>
  <c r="E367" i="2"/>
  <c r="C367" i="2"/>
  <c r="E343" i="2"/>
  <c r="C343" i="2"/>
  <c r="E311" i="2"/>
  <c r="C311" i="2"/>
  <c r="E287" i="2"/>
  <c r="C287" i="2"/>
  <c r="C183" i="2"/>
  <c r="E183" i="2"/>
  <c r="C350" i="2"/>
  <c r="E350" i="2"/>
  <c r="C326" i="2"/>
  <c r="E326" i="2"/>
  <c r="C302" i="2"/>
  <c r="E302" i="2"/>
  <c r="C278" i="2"/>
  <c r="E278" i="2"/>
  <c r="C264" i="2"/>
  <c r="E264" i="2"/>
  <c r="E240" i="2"/>
  <c r="C240" i="2"/>
  <c r="C201" i="2"/>
  <c r="E201" i="2"/>
  <c r="E217" i="2"/>
  <c r="C217" i="2"/>
  <c r="C247" i="2"/>
  <c r="E247" i="2"/>
  <c r="C220" i="2"/>
  <c r="E220" i="2"/>
  <c r="C100" i="2"/>
  <c r="E100" i="2"/>
  <c r="E164" i="2"/>
  <c r="C164" i="2"/>
  <c r="C49" i="2"/>
  <c r="E49" i="2"/>
  <c r="E64" i="2"/>
  <c r="C64" i="2"/>
  <c r="C253" i="2"/>
  <c r="E253" i="2"/>
  <c r="C362" i="2"/>
  <c r="E362" i="2"/>
  <c r="E205" i="2"/>
  <c r="C205" i="2"/>
  <c r="E375" i="2"/>
  <c r="C375" i="2"/>
  <c r="C360" i="2"/>
  <c r="E360" i="2"/>
  <c r="E371" i="2"/>
  <c r="C371" i="2"/>
  <c r="E363" i="2"/>
  <c r="C363" i="2"/>
  <c r="E355" i="2"/>
  <c r="C355" i="2"/>
  <c r="E347" i="2"/>
  <c r="C347" i="2"/>
  <c r="E339" i="2"/>
  <c r="C339" i="2"/>
  <c r="E331" i="2"/>
  <c r="C331" i="2"/>
  <c r="E323" i="2"/>
  <c r="C323" i="2"/>
  <c r="E315" i="2"/>
  <c r="C315" i="2"/>
  <c r="E307" i="2"/>
  <c r="C307" i="2"/>
  <c r="E299" i="2"/>
  <c r="C299" i="2"/>
  <c r="E291" i="2"/>
  <c r="C291" i="2"/>
  <c r="E283" i="2"/>
  <c r="C283" i="2"/>
  <c r="E275" i="2"/>
  <c r="C275" i="2"/>
  <c r="E213" i="2"/>
  <c r="C213" i="2"/>
  <c r="C271" i="2"/>
  <c r="E271" i="2"/>
  <c r="E221" i="2"/>
  <c r="C221" i="2"/>
  <c r="C354" i="2"/>
  <c r="E354" i="2"/>
  <c r="C346" i="2"/>
  <c r="E346" i="2"/>
  <c r="C338" i="2"/>
  <c r="E338" i="2"/>
  <c r="C330" i="2"/>
  <c r="E330" i="2"/>
  <c r="C322" i="2"/>
  <c r="E322" i="2"/>
  <c r="C314" i="2"/>
  <c r="E314" i="2"/>
  <c r="C306" i="2"/>
  <c r="E306" i="2"/>
  <c r="C298" i="2"/>
  <c r="E298" i="2"/>
  <c r="C290" i="2"/>
  <c r="E290" i="2"/>
  <c r="C282" i="2"/>
  <c r="E282" i="2"/>
  <c r="C274" i="2"/>
  <c r="E274" i="2"/>
  <c r="E198" i="2"/>
  <c r="C198" i="2"/>
  <c r="E268" i="2"/>
  <c r="C268" i="2"/>
  <c r="E260" i="2"/>
  <c r="C260" i="2"/>
  <c r="E252" i="2"/>
  <c r="C252" i="2"/>
  <c r="E244" i="2"/>
  <c r="C244" i="2"/>
  <c r="E236" i="2"/>
  <c r="C236" i="2"/>
  <c r="C224" i="2"/>
  <c r="E224" i="2"/>
  <c r="C208" i="2"/>
  <c r="E208" i="2"/>
  <c r="C193" i="2"/>
  <c r="E193" i="2"/>
  <c r="C173" i="2"/>
  <c r="E173" i="2"/>
  <c r="E225" i="2"/>
  <c r="C225" i="2"/>
  <c r="E209" i="2"/>
  <c r="C209" i="2"/>
  <c r="E192" i="2"/>
  <c r="C192" i="2"/>
  <c r="C163" i="2"/>
  <c r="E163" i="2"/>
  <c r="C243" i="2"/>
  <c r="E243" i="2"/>
  <c r="C235" i="2"/>
  <c r="E235" i="2"/>
  <c r="C228" i="2"/>
  <c r="E228" i="2"/>
  <c r="C212" i="2"/>
  <c r="E212" i="2"/>
  <c r="C199" i="2"/>
  <c r="E199" i="2"/>
  <c r="C177" i="2"/>
  <c r="E177" i="2"/>
  <c r="E158" i="2"/>
  <c r="C158" i="2"/>
  <c r="E184" i="2"/>
  <c r="C184" i="2"/>
  <c r="E176" i="2"/>
  <c r="C176" i="2"/>
  <c r="E168" i="2"/>
  <c r="C168" i="2"/>
  <c r="E160" i="2"/>
  <c r="C160" i="2"/>
  <c r="C108" i="2"/>
  <c r="E108" i="2"/>
  <c r="C116" i="2"/>
  <c r="E116" i="2"/>
  <c r="E157" i="2"/>
  <c r="C157" i="2"/>
  <c r="E149" i="2"/>
  <c r="C149" i="2"/>
  <c r="E141" i="2"/>
  <c r="C141" i="2"/>
  <c r="E133" i="2"/>
  <c r="C133" i="2"/>
  <c r="E125" i="2"/>
  <c r="C125" i="2"/>
  <c r="E110" i="2"/>
  <c r="C110" i="2"/>
  <c r="C104" i="2"/>
  <c r="E104" i="2"/>
  <c r="C134" i="2"/>
  <c r="E134" i="2"/>
  <c r="C126" i="2"/>
  <c r="E126" i="2"/>
  <c r="C118" i="2"/>
  <c r="E118" i="2"/>
  <c r="C65" i="2"/>
  <c r="E65" i="2"/>
  <c r="C113" i="2"/>
  <c r="E113" i="2"/>
  <c r="C105" i="2"/>
  <c r="E105" i="2"/>
  <c r="C97" i="2"/>
  <c r="E97" i="2"/>
  <c r="E89" i="2"/>
  <c r="C89" i="2"/>
  <c r="E81" i="2"/>
  <c r="C81" i="2"/>
  <c r="E66" i="2"/>
  <c r="C66" i="2"/>
  <c r="E68" i="2"/>
  <c r="C68" i="2"/>
  <c r="C90" i="2"/>
  <c r="E90" i="2"/>
  <c r="C82" i="2"/>
  <c r="E82" i="2"/>
  <c r="C71" i="2"/>
  <c r="E71" i="2"/>
  <c r="C59" i="2"/>
  <c r="E59" i="2"/>
  <c r="C53" i="2"/>
  <c r="E53" i="2"/>
  <c r="C47" i="2"/>
  <c r="E47" i="2"/>
  <c r="E42" i="2"/>
  <c r="C42" i="2"/>
  <c r="E34" i="2"/>
  <c r="C34" i="2"/>
  <c r="C45" i="2"/>
  <c r="E45" i="2"/>
  <c r="C37" i="2"/>
  <c r="E37" i="2"/>
  <c r="C29" i="2"/>
  <c r="E29" i="2"/>
  <c r="C259" i="2"/>
  <c r="E259" i="2"/>
  <c r="E359" i="2"/>
  <c r="C359" i="2"/>
  <c r="E335" i="2"/>
  <c r="C335" i="2"/>
  <c r="E319" i="2"/>
  <c r="C319" i="2"/>
  <c r="E295" i="2"/>
  <c r="C295" i="2"/>
  <c r="E269" i="2"/>
  <c r="C269" i="2"/>
  <c r="E186" i="2"/>
  <c r="C186" i="2"/>
  <c r="C334" i="2"/>
  <c r="E334" i="2"/>
  <c r="C310" i="2"/>
  <c r="E310" i="2"/>
  <c r="C286" i="2"/>
  <c r="E286" i="2"/>
  <c r="C272" i="2"/>
  <c r="E272" i="2"/>
  <c r="E248" i="2"/>
  <c r="C248" i="2"/>
  <c r="C216" i="2"/>
  <c r="E216" i="2"/>
  <c r="C156" i="2"/>
  <c r="E156" i="2"/>
  <c r="C179" i="2"/>
  <c r="E179" i="2"/>
  <c r="C231" i="2"/>
  <c r="E231" i="2"/>
  <c r="C191" i="2"/>
  <c r="E191" i="2"/>
  <c r="E180" i="2"/>
  <c r="C180" i="2"/>
  <c r="C144" i="2"/>
  <c r="E144" i="2"/>
  <c r="C153" i="2"/>
  <c r="E153" i="2"/>
  <c r="E137" i="2"/>
  <c r="C137" i="2"/>
  <c r="C122" i="2"/>
  <c r="E122" i="2"/>
  <c r="C374" i="2"/>
  <c r="E374" i="2"/>
  <c r="C358" i="2"/>
  <c r="E358" i="2"/>
  <c r="E194" i="2"/>
  <c r="C194" i="2"/>
  <c r="C372" i="2"/>
  <c r="E372" i="2"/>
  <c r="C356" i="2"/>
  <c r="E356" i="2"/>
  <c r="E369" i="2"/>
  <c r="C369" i="2"/>
  <c r="E361" i="2"/>
  <c r="C361" i="2"/>
  <c r="E353" i="2"/>
  <c r="C353" i="2"/>
  <c r="E345" i="2"/>
  <c r="C345" i="2"/>
  <c r="E337" i="2"/>
  <c r="C337" i="2"/>
  <c r="E329" i="2"/>
  <c r="C329" i="2"/>
  <c r="E321" i="2"/>
  <c r="C321" i="2"/>
  <c r="E313" i="2"/>
  <c r="C313" i="2"/>
  <c r="E305" i="2"/>
  <c r="C305" i="2"/>
  <c r="E297" i="2"/>
  <c r="C297" i="2"/>
  <c r="E289" i="2"/>
  <c r="C289" i="2"/>
  <c r="E281" i="2"/>
  <c r="C281" i="2"/>
  <c r="E273" i="2"/>
  <c r="C273" i="2"/>
  <c r="E190" i="2"/>
  <c r="C190" i="2"/>
  <c r="C263" i="2"/>
  <c r="E263" i="2"/>
  <c r="C206" i="2"/>
  <c r="E206" i="2"/>
  <c r="C352" i="2"/>
  <c r="E352" i="2"/>
  <c r="C344" i="2"/>
  <c r="E344" i="2"/>
  <c r="C336" i="2"/>
  <c r="E336" i="2"/>
  <c r="C328" i="2"/>
  <c r="E328" i="2"/>
  <c r="C320" i="2"/>
  <c r="E320" i="2"/>
  <c r="C312" i="2"/>
  <c r="E312" i="2"/>
  <c r="C304" i="2"/>
  <c r="E304" i="2"/>
  <c r="C296" i="2"/>
  <c r="E296" i="2"/>
  <c r="C288" i="2"/>
  <c r="E288" i="2"/>
  <c r="C280" i="2"/>
  <c r="E280" i="2"/>
  <c r="C265" i="2"/>
  <c r="E265" i="2"/>
  <c r="C167" i="2"/>
  <c r="E167" i="2"/>
  <c r="C266" i="2"/>
  <c r="E266" i="2"/>
  <c r="C258" i="2"/>
  <c r="E258" i="2"/>
  <c r="E250" i="2"/>
  <c r="C250" i="2"/>
  <c r="E242" i="2"/>
  <c r="C242" i="2"/>
  <c r="E234" i="2"/>
  <c r="C234" i="2"/>
  <c r="E223" i="2"/>
  <c r="C223" i="2"/>
  <c r="E207" i="2"/>
  <c r="C207" i="2"/>
  <c r="C189" i="2"/>
  <c r="E189" i="2"/>
  <c r="C165" i="2"/>
  <c r="E165" i="2"/>
  <c r="C218" i="2"/>
  <c r="E218" i="2"/>
  <c r="C202" i="2"/>
  <c r="E202" i="2"/>
  <c r="E188" i="2"/>
  <c r="C188" i="2"/>
  <c r="C142" i="2"/>
  <c r="E142" i="2"/>
  <c r="C241" i="2"/>
  <c r="E241" i="2"/>
  <c r="C233" i="2"/>
  <c r="E233" i="2"/>
  <c r="E227" i="2"/>
  <c r="C227" i="2"/>
  <c r="E211" i="2"/>
  <c r="C211" i="2"/>
  <c r="C195" i="2"/>
  <c r="E195" i="2"/>
  <c r="C169" i="2"/>
  <c r="E169" i="2"/>
  <c r="E150" i="2"/>
  <c r="C150" i="2"/>
  <c r="E182" i="2"/>
  <c r="C182" i="2"/>
  <c r="E174" i="2"/>
  <c r="C174" i="2"/>
  <c r="E166" i="2"/>
  <c r="C166" i="2"/>
  <c r="C152" i="2"/>
  <c r="E152" i="2"/>
  <c r="E56" i="2"/>
  <c r="C56" i="2"/>
  <c r="C73" i="2"/>
  <c r="E73" i="2"/>
  <c r="C155" i="2"/>
  <c r="E155" i="2"/>
  <c r="C147" i="2"/>
  <c r="E147" i="2"/>
  <c r="E139" i="2"/>
  <c r="C139" i="2"/>
  <c r="E131" i="2"/>
  <c r="C131" i="2"/>
  <c r="E123" i="2"/>
  <c r="C123" i="2"/>
  <c r="E102" i="2"/>
  <c r="C102" i="2"/>
  <c r="C96" i="2"/>
  <c r="E96" i="2"/>
  <c r="C132" i="2"/>
  <c r="E132" i="2"/>
  <c r="C124" i="2"/>
  <c r="E124" i="2"/>
  <c r="C114" i="2"/>
  <c r="E114" i="2"/>
  <c r="C57" i="2"/>
  <c r="E57" i="2"/>
  <c r="E111" i="2"/>
  <c r="C111" i="2"/>
  <c r="E103" i="2"/>
  <c r="C103" i="2"/>
  <c r="E95" i="2"/>
  <c r="C95" i="2"/>
  <c r="E87" i="2"/>
  <c r="C87" i="2"/>
  <c r="C75" i="2"/>
  <c r="E75" i="2"/>
  <c r="C77" i="2"/>
  <c r="E77" i="2"/>
  <c r="C61" i="2"/>
  <c r="E61" i="2"/>
  <c r="C88" i="2"/>
  <c r="E88" i="2"/>
  <c r="C80" i="2"/>
  <c r="E80" i="2"/>
  <c r="E70" i="2"/>
  <c r="C70" i="2"/>
  <c r="E58" i="2"/>
  <c r="C58" i="2"/>
  <c r="E52" i="2"/>
  <c r="C52" i="2"/>
  <c r="E48" i="2"/>
  <c r="C48" i="2"/>
  <c r="E40" i="2"/>
  <c r="C40" i="2"/>
  <c r="E32" i="2"/>
  <c r="C32" i="2"/>
  <c r="C43" i="2"/>
  <c r="E43" i="2"/>
  <c r="C35" i="2"/>
  <c r="E35" i="2"/>
  <c r="C27" i="2"/>
  <c r="E27" i="2"/>
  <c r="E18" i="2"/>
  <c r="E21" i="2"/>
  <c r="E22" i="2"/>
  <c r="E23" i="2"/>
  <c r="E26" i="2"/>
  <c r="E20" i="2"/>
  <c r="E24" i="2"/>
  <c r="E19" i="2"/>
  <c r="E17" i="2"/>
  <c r="I17" i="2"/>
  <c r="E25" i="2"/>
  <c r="C17" i="2"/>
  <c r="C18" i="2"/>
  <c r="C19" i="2"/>
  <c r="K17" i="2" l="1"/>
  <c r="C20" i="2"/>
  <c r="C21" i="2" l="1"/>
  <c r="C22" i="2" l="1"/>
  <c r="C23" i="2" l="1"/>
  <c r="C24" i="2" l="1"/>
  <c r="C25" i="2"/>
  <c r="C26" i="2" l="1"/>
  <c r="F17" i="2" l="1"/>
  <c r="G17" i="2" s="1"/>
  <c r="H17" i="2" l="1"/>
  <c r="D18" i="2" l="1"/>
  <c r="F18" i="2" l="1"/>
  <c r="G18" i="2"/>
  <c r="I18" i="2"/>
  <c r="K18" i="2" l="1"/>
  <c r="H18" i="2"/>
  <c r="D19" i="2" l="1"/>
  <c r="I19" i="2" l="1"/>
  <c r="F19" i="2"/>
  <c r="G19" i="2" s="1"/>
  <c r="K19" i="2"/>
  <c r="H19" i="2" l="1"/>
  <c r="D20" i="2" l="1"/>
  <c r="I20" i="2" l="1"/>
  <c r="K20" i="2" s="1"/>
  <c r="F20" i="2"/>
  <c r="G20" i="2" l="1"/>
  <c r="H20" i="2" s="1"/>
  <c r="D21" i="2"/>
  <c r="I21" i="2" l="1"/>
  <c r="K21" i="2" s="1"/>
  <c r="F21" i="2"/>
  <c r="G21" i="2" l="1"/>
  <c r="H21" i="2" s="1"/>
  <c r="D22" i="2"/>
  <c r="F22" i="2" l="1"/>
  <c r="G22" i="2"/>
  <c r="I22" i="2"/>
  <c r="H22" i="2" s="1"/>
  <c r="D23" i="2" s="1"/>
  <c r="F23" i="2" l="1"/>
  <c r="G23" i="2"/>
  <c r="K22" i="2"/>
  <c r="I23" i="2"/>
  <c r="K23" i="2" s="1"/>
  <c r="H23" i="2" l="1"/>
  <c r="D24" i="2" s="1"/>
  <c r="F24" i="2" l="1"/>
  <c r="G24" i="2"/>
  <c r="I24" i="2"/>
  <c r="K24" i="2" s="1"/>
  <c r="H24" i="2" l="1"/>
  <c r="D25" i="2" s="1"/>
  <c r="F25" i="2" l="1"/>
  <c r="G25" i="2"/>
  <c r="I25" i="2"/>
  <c r="K25" i="2" s="1"/>
  <c r="H25" i="2" l="1"/>
  <c r="D26" i="2" s="1"/>
  <c r="F26" i="2" l="1"/>
  <c r="G26" i="2"/>
  <c r="I26" i="2"/>
  <c r="K26" i="2" s="1"/>
  <c r="H26" i="2" l="1"/>
  <c r="D27" i="2" s="1"/>
  <c r="F27" i="2" l="1"/>
  <c r="G27" i="2"/>
  <c r="I27" i="2"/>
  <c r="K27" i="2" s="1"/>
  <c r="H27" i="2" l="1"/>
  <c r="D28" i="2" s="1"/>
  <c r="F28" i="2" l="1"/>
  <c r="G28" i="2"/>
  <c r="I28" i="2"/>
  <c r="K28" i="2" s="1"/>
  <c r="H28" i="2" l="1"/>
  <c r="D29" i="2" s="1"/>
  <c r="F29" i="2" l="1"/>
  <c r="G29" i="2" s="1"/>
  <c r="I29" i="2"/>
  <c r="K29" i="2" s="1"/>
  <c r="H29" i="2" l="1"/>
  <c r="D30" i="2" s="1"/>
  <c r="I30" i="2" l="1"/>
  <c r="K30" i="2" s="1"/>
  <c r="F30" i="2"/>
  <c r="G30" i="2" s="1"/>
  <c r="H30" i="2" l="1"/>
  <c r="D31" i="2" s="1"/>
  <c r="I31" i="2" l="1"/>
  <c r="K31" i="2" s="1"/>
  <c r="F31" i="2"/>
  <c r="G31" i="2" s="1"/>
  <c r="H31" i="2" l="1"/>
  <c r="D32" i="2" s="1"/>
  <c r="I32" i="2" l="1"/>
  <c r="K32" i="2" s="1"/>
  <c r="F32" i="2"/>
  <c r="G32" i="2" s="1"/>
  <c r="H32" i="2" l="1"/>
  <c r="D33" i="2" s="1"/>
  <c r="I33" i="2" l="1"/>
  <c r="K33" i="2" s="1"/>
  <c r="F33" i="2"/>
  <c r="G33" i="2" s="1"/>
  <c r="H33" i="2" l="1"/>
  <c r="D34" i="2" s="1"/>
  <c r="F34" i="2" l="1"/>
  <c r="G34" i="2" s="1"/>
  <c r="I34" i="2"/>
  <c r="K34" i="2" s="1"/>
  <c r="H34" i="2" l="1"/>
  <c r="D35" i="2" s="1"/>
  <c r="I35" i="2" l="1"/>
  <c r="K35" i="2" s="1"/>
  <c r="F35" i="2"/>
  <c r="G35" i="2" s="1"/>
  <c r="H35" i="2" l="1"/>
  <c r="D36" i="2" s="1"/>
  <c r="I36" i="2" l="1"/>
  <c r="K36" i="2" s="1"/>
  <c r="F36" i="2"/>
  <c r="G36" i="2" s="1"/>
  <c r="H36" i="2" l="1"/>
  <c r="D37" i="2" s="1"/>
  <c r="I37" i="2" l="1"/>
  <c r="K37" i="2" s="1"/>
  <c r="F37" i="2"/>
  <c r="G37" i="2" s="1"/>
  <c r="H37" i="2" l="1"/>
  <c r="D38" i="2" s="1"/>
  <c r="I38" i="2" l="1"/>
  <c r="K38" i="2" s="1"/>
  <c r="F38" i="2"/>
  <c r="G38" i="2" s="1"/>
  <c r="H38" i="2" l="1"/>
  <c r="D39" i="2" s="1"/>
  <c r="I39" i="2" l="1"/>
  <c r="K39" i="2" s="1"/>
  <c r="F39" i="2"/>
  <c r="G39" i="2" s="1"/>
  <c r="H39" i="2" l="1"/>
  <c r="D40" i="2" s="1"/>
  <c r="I40" i="2" l="1"/>
  <c r="K40" i="2" s="1"/>
  <c r="F40" i="2"/>
  <c r="G40" i="2" s="1"/>
  <c r="H40" i="2" l="1"/>
  <c r="D41" i="2" s="1"/>
  <c r="I41" i="2" l="1"/>
  <c r="K41" i="2" s="1"/>
  <c r="F41" i="2"/>
  <c r="G41" i="2" s="1"/>
  <c r="H41" i="2" l="1"/>
  <c r="D42" i="2" s="1"/>
  <c r="I42" i="2" l="1"/>
  <c r="K42" i="2" s="1"/>
  <c r="F42" i="2"/>
  <c r="G42" i="2" s="1"/>
  <c r="H42" i="2" l="1"/>
  <c r="D43" i="2" s="1"/>
  <c r="I43" i="2" l="1"/>
  <c r="K43" i="2" s="1"/>
  <c r="F43" i="2"/>
  <c r="G43" i="2" s="1"/>
  <c r="H43" i="2" l="1"/>
  <c r="D44" i="2" s="1"/>
  <c r="I44" i="2" l="1"/>
  <c r="K44" i="2" s="1"/>
  <c r="F44" i="2"/>
  <c r="G44" i="2" s="1"/>
  <c r="H44" i="2" l="1"/>
  <c r="D45" i="2" s="1"/>
  <c r="F45" i="2" l="1"/>
  <c r="G45" i="2" s="1"/>
  <c r="I45" i="2"/>
  <c r="K45" i="2" s="1"/>
  <c r="H45" i="2" l="1"/>
  <c r="D46" i="2" s="1"/>
  <c r="I46" i="2" l="1"/>
  <c r="K46" i="2" s="1"/>
  <c r="F46" i="2"/>
  <c r="G46" i="2" s="1"/>
  <c r="H46" i="2" l="1"/>
  <c r="D47" i="2" s="1"/>
  <c r="F47" i="2" l="1"/>
  <c r="G47" i="2" s="1"/>
  <c r="I47" i="2"/>
  <c r="K47" i="2" s="1"/>
  <c r="H47" i="2" l="1"/>
  <c r="D48" i="2" s="1"/>
  <c r="I48" i="2" l="1"/>
  <c r="K48" i="2" s="1"/>
  <c r="F48" i="2"/>
  <c r="G48" i="2" s="1"/>
  <c r="H48" i="2" l="1"/>
  <c r="D49" i="2" s="1"/>
  <c r="I49" i="2" l="1"/>
  <c r="K49" i="2" s="1"/>
  <c r="F49" i="2"/>
  <c r="G49" i="2" s="1"/>
  <c r="H49" i="2" l="1"/>
  <c r="D50" i="2" s="1"/>
  <c r="F50" i="2" l="1"/>
  <c r="G50" i="2" s="1"/>
  <c r="I50" i="2"/>
  <c r="K50" i="2" s="1"/>
  <c r="H50" i="2" l="1"/>
  <c r="D51" i="2" s="1"/>
  <c r="I51" i="2" l="1"/>
  <c r="K51" i="2" s="1"/>
  <c r="F51" i="2"/>
  <c r="G51" i="2" s="1"/>
  <c r="H51" i="2" l="1"/>
  <c r="D52" i="2" s="1"/>
  <c r="I52" i="2" l="1"/>
  <c r="K52" i="2" s="1"/>
  <c r="F52" i="2"/>
  <c r="G52" i="2" s="1"/>
  <c r="H52" i="2" l="1"/>
  <c r="D53" i="2" s="1"/>
  <c r="I53" i="2" l="1"/>
  <c r="K53" i="2" s="1"/>
  <c r="F53" i="2"/>
  <c r="G53" i="2" s="1"/>
  <c r="H53" i="2" l="1"/>
  <c r="D54" i="2" s="1"/>
  <c r="I54" i="2" l="1"/>
  <c r="K54" i="2" s="1"/>
  <c r="F54" i="2"/>
  <c r="G54" i="2" s="1"/>
  <c r="H54" i="2" l="1"/>
  <c r="D55" i="2" s="1"/>
  <c r="I55" i="2" l="1"/>
  <c r="K55" i="2" s="1"/>
  <c r="F55" i="2"/>
  <c r="G55" i="2" s="1"/>
  <c r="H55" i="2" l="1"/>
  <c r="D56" i="2" s="1"/>
  <c r="I56" i="2" l="1"/>
  <c r="K56" i="2" s="1"/>
  <c r="F56" i="2"/>
  <c r="G56" i="2" s="1"/>
  <c r="H56" i="2" l="1"/>
  <c r="D57" i="2" s="1"/>
  <c r="I57" i="2" l="1"/>
  <c r="K57" i="2" s="1"/>
  <c r="F57" i="2"/>
  <c r="G57" i="2" s="1"/>
  <c r="H57" i="2" l="1"/>
  <c r="D58" i="2" s="1"/>
  <c r="F58" i="2" l="1"/>
  <c r="G58" i="2" s="1"/>
  <c r="I58" i="2"/>
  <c r="K58" i="2" s="1"/>
  <c r="H58" i="2" l="1"/>
  <c r="D59" i="2" s="1"/>
  <c r="I59" i="2" l="1"/>
  <c r="K59" i="2" s="1"/>
  <c r="F59" i="2"/>
  <c r="G59" i="2" s="1"/>
  <c r="H59" i="2" l="1"/>
  <c r="D60" i="2" s="1"/>
  <c r="I60" i="2" l="1"/>
  <c r="K60" i="2" s="1"/>
  <c r="F60" i="2"/>
  <c r="G60" i="2" s="1"/>
  <c r="H60" i="2" l="1"/>
  <c r="D61" i="2" s="1"/>
  <c r="I61" i="2" l="1"/>
  <c r="K61" i="2" s="1"/>
  <c r="F61" i="2"/>
  <c r="G61" i="2" s="1"/>
  <c r="H61" i="2" l="1"/>
  <c r="D62" i="2" s="1"/>
  <c r="I62" i="2" l="1"/>
  <c r="K62" i="2" s="1"/>
  <c r="F62" i="2"/>
  <c r="G62" i="2" s="1"/>
  <c r="H62" i="2" l="1"/>
  <c r="D63" i="2" s="1"/>
  <c r="I63" i="2" l="1"/>
  <c r="K63" i="2" s="1"/>
  <c r="F63" i="2"/>
  <c r="G63" i="2" s="1"/>
  <c r="H63" i="2" l="1"/>
  <c r="D64" i="2" s="1"/>
  <c r="F64" i="2" l="1"/>
  <c r="G64" i="2" s="1"/>
  <c r="I64" i="2"/>
  <c r="K64" i="2" s="1"/>
  <c r="H64" i="2" l="1"/>
  <c r="D65" i="2" s="1"/>
  <c r="I65" i="2" l="1"/>
  <c r="K65" i="2" s="1"/>
  <c r="F65" i="2"/>
  <c r="G65" i="2" s="1"/>
  <c r="H65" i="2" l="1"/>
  <c r="D66" i="2" s="1"/>
  <c r="F66" i="2" l="1"/>
  <c r="G66" i="2" s="1"/>
  <c r="I66" i="2"/>
  <c r="K66" i="2" s="1"/>
  <c r="H66" i="2" l="1"/>
  <c r="D67" i="2" s="1"/>
  <c r="F67" i="2" l="1"/>
  <c r="G67" i="2" s="1"/>
  <c r="I67" i="2"/>
  <c r="K67" i="2" s="1"/>
  <c r="H67" i="2" l="1"/>
  <c r="D68" i="2" s="1"/>
  <c r="I68" i="2" l="1"/>
  <c r="K68" i="2" s="1"/>
  <c r="F68" i="2"/>
  <c r="G68" i="2" s="1"/>
  <c r="H68" i="2" l="1"/>
  <c r="D69" i="2" s="1"/>
  <c r="I69" i="2" l="1"/>
  <c r="K69" i="2" s="1"/>
  <c r="F69" i="2"/>
  <c r="G69" i="2" s="1"/>
  <c r="H69" i="2" l="1"/>
  <c r="D70" i="2" s="1"/>
  <c r="I70" i="2" l="1"/>
  <c r="K70" i="2" s="1"/>
  <c r="F70" i="2"/>
  <c r="G70" i="2" s="1"/>
  <c r="H70" i="2" l="1"/>
  <c r="D71" i="2" s="1"/>
  <c r="I71" i="2" l="1"/>
  <c r="K71" i="2" s="1"/>
  <c r="F71" i="2"/>
  <c r="G71" i="2" s="1"/>
  <c r="H71" i="2" l="1"/>
  <c r="D72" i="2" s="1"/>
  <c r="I72" i="2" l="1"/>
  <c r="K72" i="2" s="1"/>
  <c r="F72" i="2"/>
  <c r="G72" i="2" s="1"/>
  <c r="H72" i="2" l="1"/>
  <c r="D73" i="2" s="1"/>
  <c r="I73" i="2" l="1"/>
  <c r="K73" i="2" s="1"/>
  <c r="F73" i="2"/>
  <c r="G73" i="2" s="1"/>
  <c r="H73" i="2" l="1"/>
  <c r="D74" i="2" s="1"/>
  <c r="I74" i="2" l="1"/>
  <c r="K74" i="2" s="1"/>
  <c r="F74" i="2"/>
  <c r="G74" i="2" s="1"/>
  <c r="H74" i="2" l="1"/>
  <c r="D75" i="2" s="1"/>
  <c r="I75" i="2" l="1"/>
  <c r="K75" i="2" s="1"/>
  <c r="F75" i="2"/>
  <c r="G75" i="2" s="1"/>
  <c r="H75" i="2" l="1"/>
  <c r="D76" i="2" s="1"/>
  <c r="I76" i="2" l="1"/>
  <c r="K76" i="2" s="1"/>
  <c r="F76" i="2"/>
  <c r="G76" i="2" s="1"/>
  <c r="H76" i="2" l="1"/>
  <c r="D77" i="2" s="1"/>
  <c r="I77" i="2" l="1"/>
  <c r="K77" i="2" s="1"/>
  <c r="F77" i="2"/>
  <c r="G77" i="2" s="1"/>
  <c r="H77" i="2" l="1"/>
  <c r="D78" i="2" s="1"/>
  <c r="I78" i="2" l="1"/>
  <c r="K78" i="2" s="1"/>
  <c r="F78" i="2"/>
  <c r="G78" i="2" s="1"/>
  <c r="H78" i="2" l="1"/>
  <c r="D79" i="2" s="1"/>
  <c r="F79" i="2" l="1"/>
  <c r="G79" i="2" s="1"/>
  <c r="I79" i="2"/>
  <c r="K79" i="2" s="1"/>
  <c r="H79" i="2" l="1"/>
  <c r="D80" i="2" s="1"/>
  <c r="I80" i="2" l="1"/>
  <c r="K80" i="2" s="1"/>
  <c r="F80" i="2"/>
  <c r="G80" i="2" s="1"/>
  <c r="H80" i="2" l="1"/>
  <c r="D81" i="2" s="1"/>
  <c r="I81" i="2" l="1"/>
  <c r="K81" i="2" s="1"/>
  <c r="F81" i="2"/>
  <c r="G81" i="2" s="1"/>
  <c r="H81" i="2" l="1"/>
  <c r="D82" i="2" s="1"/>
  <c r="I82" i="2" l="1"/>
  <c r="K82" i="2" s="1"/>
  <c r="F82" i="2"/>
  <c r="G82" i="2" s="1"/>
  <c r="H82" i="2" l="1"/>
  <c r="D83" i="2" s="1"/>
  <c r="I83" i="2" l="1"/>
  <c r="K83" i="2" s="1"/>
  <c r="F83" i="2"/>
  <c r="G83" i="2" s="1"/>
  <c r="H83" i="2" l="1"/>
  <c r="D84" i="2" s="1"/>
  <c r="I84" i="2" l="1"/>
  <c r="K84" i="2" s="1"/>
  <c r="F84" i="2"/>
  <c r="G84" i="2" s="1"/>
  <c r="H84" i="2" l="1"/>
  <c r="D85" i="2" s="1"/>
  <c r="I85" i="2" l="1"/>
  <c r="K85" i="2" s="1"/>
  <c r="F85" i="2"/>
  <c r="G85" i="2" s="1"/>
  <c r="H85" i="2" l="1"/>
  <c r="D86" i="2" s="1"/>
  <c r="F86" i="2" l="1"/>
  <c r="G86" i="2" s="1"/>
  <c r="I86" i="2"/>
  <c r="K86" i="2" s="1"/>
  <c r="H86" i="2" l="1"/>
  <c r="D87" i="2" s="1"/>
  <c r="I87" i="2" l="1"/>
  <c r="K87" i="2" s="1"/>
  <c r="F87" i="2"/>
  <c r="G87" i="2" s="1"/>
  <c r="H87" i="2" l="1"/>
  <c r="D88" i="2" s="1"/>
  <c r="I88" i="2" l="1"/>
  <c r="K88" i="2" s="1"/>
  <c r="F88" i="2"/>
  <c r="G88" i="2" s="1"/>
  <c r="H88" i="2" l="1"/>
  <c r="D89" i="2" s="1"/>
  <c r="I89" i="2" l="1"/>
  <c r="K89" i="2" s="1"/>
  <c r="F89" i="2"/>
  <c r="G89" i="2" s="1"/>
  <c r="H89" i="2" l="1"/>
  <c r="D90" i="2" s="1"/>
  <c r="I90" i="2" l="1"/>
  <c r="K90" i="2" s="1"/>
  <c r="F90" i="2"/>
  <c r="G90" i="2" s="1"/>
  <c r="H90" i="2" l="1"/>
  <c r="D91" i="2" s="1"/>
  <c r="I91" i="2" l="1"/>
  <c r="K91" i="2" s="1"/>
  <c r="F91" i="2"/>
  <c r="G91" i="2" s="1"/>
  <c r="H91" i="2" l="1"/>
  <c r="D92" i="2" s="1"/>
  <c r="I92" i="2" l="1"/>
  <c r="K92" i="2" s="1"/>
  <c r="F92" i="2"/>
  <c r="G92" i="2" s="1"/>
  <c r="H92" i="2" l="1"/>
  <c r="D93" i="2" s="1"/>
  <c r="I93" i="2" l="1"/>
  <c r="K93" i="2" s="1"/>
  <c r="F93" i="2"/>
  <c r="G93" i="2" s="1"/>
  <c r="H93" i="2" l="1"/>
  <c r="D94" i="2" s="1"/>
  <c r="I94" i="2" l="1"/>
  <c r="K94" i="2" s="1"/>
  <c r="F94" i="2"/>
  <c r="G94" i="2" s="1"/>
  <c r="H94" i="2" l="1"/>
  <c r="D95" i="2" s="1"/>
  <c r="I95" i="2" l="1"/>
  <c r="K95" i="2" s="1"/>
  <c r="F95" i="2"/>
  <c r="G95" i="2" s="1"/>
  <c r="H95" i="2" l="1"/>
  <c r="D96" i="2" s="1"/>
  <c r="I96" i="2" l="1"/>
  <c r="K96" i="2" s="1"/>
  <c r="F96" i="2"/>
  <c r="G96" i="2" s="1"/>
  <c r="H96" i="2" l="1"/>
  <c r="D97" i="2" s="1"/>
  <c r="I97" i="2" l="1"/>
  <c r="K97" i="2" s="1"/>
  <c r="F97" i="2"/>
  <c r="G97" i="2" s="1"/>
  <c r="H97" i="2" l="1"/>
  <c r="D98" i="2" s="1"/>
  <c r="I98" i="2" l="1"/>
  <c r="K98" i="2" s="1"/>
  <c r="F98" i="2"/>
  <c r="G98" i="2" s="1"/>
  <c r="H98" i="2" l="1"/>
  <c r="D99" i="2" s="1"/>
  <c r="I99" i="2" l="1"/>
  <c r="K99" i="2" s="1"/>
  <c r="F99" i="2"/>
  <c r="G99" i="2" s="1"/>
  <c r="H99" i="2" l="1"/>
  <c r="D100" i="2" s="1"/>
  <c r="I100" i="2" l="1"/>
  <c r="K100" i="2" s="1"/>
  <c r="F100" i="2"/>
  <c r="G100" i="2" s="1"/>
  <c r="H100" i="2" l="1"/>
  <c r="D101" i="2" s="1"/>
  <c r="I101" i="2" l="1"/>
  <c r="K101" i="2" s="1"/>
  <c r="F101" i="2"/>
  <c r="G101" i="2" s="1"/>
  <c r="H101" i="2" l="1"/>
  <c r="D102" i="2" s="1"/>
  <c r="I102" i="2" l="1"/>
  <c r="K102" i="2" s="1"/>
  <c r="F102" i="2"/>
  <c r="G102" i="2" s="1"/>
  <c r="H102" i="2" l="1"/>
  <c r="D103" i="2" s="1"/>
  <c r="I103" i="2" l="1"/>
  <c r="K103" i="2" s="1"/>
  <c r="F103" i="2"/>
  <c r="G103" i="2" s="1"/>
  <c r="H103" i="2" l="1"/>
  <c r="D104" i="2" s="1"/>
  <c r="I104" i="2" l="1"/>
  <c r="K104" i="2" s="1"/>
  <c r="F104" i="2"/>
  <c r="G104" i="2" s="1"/>
  <c r="H104" i="2" l="1"/>
  <c r="D105" i="2" s="1"/>
  <c r="I105" i="2" l="1"/>
  <c r="K105" i="2" s="1"/>
  <c r="F105" i="2"/>
  <c r="G105" i="2" s="1"/>
  <c r="H105" i="2" l="1"/>
  <c r="D106" i="2" s="1"/>
  <c r="I106" i="2" l="1"/>
  <c r="K106" i="2" s="1"/>
  <c r="F106" i="2"/>
  <c r="G106" i="2" s="1"/>
  <c r="H106" i="2" l="1"/>
  <c r="D107" i="2" s="1"/>
  <c r="F107" i="2" l="1"/>
  <c r="G107" i="2" s="1"/>
  <c r="I107" i="2"/>
  <c r="K107" i="2" s="1"/>
  <c r="H107" i="2" l="1"/>
  <c r="D108" i="2" s="1"/>
  <c r="I108" i="2" l="1"/>
  <c r="K108" i="2" s="1"/>
  <c r="F108" i="2"/>
  <c r="G108" i="2" s="1"/>
  <c r="H108" i="2" l="1"/>
  <c r="D109" i="2" s="1"/>
  <c r="I109" i="2" l="1"/>
  <c r="K109" i="2" s="1"/>
  <c r="F109" i="2"/>
  <c r="G109" i="2" s="1"/>
  <c r="H109" i="2" l="1"/>
  <c r="D110" i="2" s="1"/>
  <c r="I110" i="2" l="1"/>
  <c r="K110" i="2" s="1"/>
  <c r="F110" i="2"/>
  <c r="G110" i="2" s="1"/>
  <c r="H110" i="2" l="1"/>
  <c r="D111" i="2" s="1"/>
  <c r="I111" i="2" l="1"/>
  <c r="K111" i="2" s="1"/>
  <c r="F111" i="2"/>
  <c r="G111" i="2" s="1"/>
  <c r="H111" i="2" l="1"/>
  <c r="D112" i="2" s="1"/>
  <c r="I112" i="2" l="1"/>
  <c r="K112" i="2" s="1"/>
  <c r="F112" i="2"/>
  <c r="G112" i="2" s="1"/>
  <c r="H112" i="2" l="1"/>
  <c r="D113" i="2" s="1"/>
  <c r="I113" i="2" l="1"/>
  <c r="K113" i="2" s="1"/>
  <c r="F113" i="2"/>
  <c r="G113" i="2" s="1"/>
  <c r="H113" i="2" l="1"/>
  <c r="D114" i="2" s="1"/>
  <c r="I114" i="2" l="1"/>
  <c r="K114" i="2" s="1"/>
  <c r="F114" i="2"/>
  <c r="G114" i="2" s="1"/>
  <c r="H114" i="2" l="1"/>
  <c r="D115" i="2" s="1"/>
  <c r="I115" i="2" l="1"/>
  <c r="K115" i="2" s="1"/>
  <c r="F115" i="2"/>
  <c r="G115" i="2" s="1"/>
  <c r="H115" i="2" l="1"/>
  <c r="D116" i="2" s="1"/>
  <c r="F116" i="2" l="1"/>
  <c r="G116" i="2" s="1"/>
  <c r="I116" i="2"/>
  <c r="K116" i="2" s="1"/>
  <c r="H116" i="2" l="1"/>
  <c r="D117" i="2" s="1"/>
  <c r="I117" i="2" l="1"/>
  <c r="K117" i="2" s="1"/>
  <c r="F117" i="2"/>
  <c r="G117" i="2" s="1"/>
  <c r="H117" i="2" l="1"/>
  <c r="D118" i="2" s="1"/>
  <c r="F118" i="2" l="1"/>
  <c r="G118" i="2" s="1"/>
  <c r="I118" i="2"/>
  <c r="K118" i="2" s="1"/>
  <c r="H118" i="2" l="1"/>
  <c r="D119" i="2" s="1"/>
  <c r="I119" i="2" l="1"/>
  <c r="K119" i="2" s="1"/>
  <c r="F119" i="2"/>
  <c r="G119" i="2" s="1"/>
  <c r="H119" i="2" l="1"/>
  <c r="D120" i="2" s="1"/>
  <c r="I120" i="2" l="1"/>
  <c r="K120" i="2" s="1"/>
  <c r="F120" i="2"/>
  <c r="G120" i="2" s="1"/>
  <c r="H120" i="2" l="1"/>
  <c r="D121" i="2" s="1"/>
  <c r="I121" i="2" l="1"/>
  <c r="K121" i="2" s="1"/>
  <c r="F121" i="2"/>
  <c r="G121" i="2" s="1"/>
  <c r="H121" i="2" l="1"/>
  <c r="D122" i="2" s="1"/>
  <c r="I122" i="2" l="1"/>
  <c r="K122" i="2" s="1"/>
  <c r="F122" i="2"/>
  <c r="G122" i="2" s="1"/>
  <c r="H122" i="2" l="1"/>
  <c r="D123" i="2" s="1"/>
  <c r="I123" i="2" l="1"/>
  <c r="K123" i="2" s="1"/>
  <c r="F123" i="2"/>
  <c r="G123" i="2" s="1"/>
  <c r="H123" i="2" l="1"/>
  <c r="D124" i="2" s="1"/>
  <c r="F124" i="2" l="1"/>
  <c r="G124" i="2" s="1"/>
  <c r="I124" i="2"/>
  <c r="K124" i="2" s="1"/>
  <c r="H124" i="2" l="1"/>
  <c r="D125" i="2" s="1"/>
  <c r="I125" i="2" l="1"/>
  <c r="K125" i="2" s="1"/>
  <c r="F125" i="2"/>
  <c r="G125" i="2" s="1"/>
  <c r="H125" i="2" l="1"/>
  <c r="D126" i="2" s="1"/>
  <c r="I126" i="2" l="1"/>
  <c r="K126" i="2" s="1"/>
  <c r="F126" i="2"/>
  <c r="G126" i="2" s="1"/>
  <c r="H126" i="2" l="1"/>
  <c r="D127" i="2" s="1"/>
  <c r="I127" i="2" l="1"/>
  <c r="K127" i="2" s="1"/>
  <c r="F127" i="2"/>
  <c r="G127" i="2" s="1"/>
  <c r="H127" i="2" l="1"/>
  <c r="D128" i="2" s="1"/>
  <c r="F128" i="2" l="1"/>
  <c r="G128" i="2" s="1"/>
  <c r="I128" i="2"/>
  <c r="K128" i="2" s="1"/>
  <c r="H128" i="2" l="1"/>
  <c r="D129" i="2" s="1"/>
  <c r="I129" i="2" l="1"/>
  <c r="K129" i="2" s="1"/>
  <c r="F129" i="2"/>
  <c r="G129" i="2" s="1"/>
  <c r="H129" i="2" l="1"/>
  <c r="D130" i="2" s="1"/>
  <c r="I130" i="2" l="1"/>
  <c r="K130" i="2" s="1"/>
  <c r="F130" i="2"/>
  <c r="G130" i="2" s="1"/>
  <c r="H130" i="2" l="1"/>
  <c r="D131" i="2" s="1"/>
  <c r="F131" i="2" l="1"/>
  <c r="G131" i="2" s="1"/>
  <c r="I131" i="2"/>
  <c r="K131" i="2" s="1"/>
  <c r="H131" i="2" l="1"/>
  <c r="D132" i="2" s="1"/>
  <c r="I132" i="2" l="1"/>
  <c r="K132" i="2" s="1"/>
  <c r="F132" i="2"/>
  <c r="G132" i="2" s="1"/>
  <c r="H132" i="2" l="1"/>
  <c r="D133" i="2" s="1"/>
  <c r="I133" i="2" l="1"/>
  <c r="K133" i="2" s="1"/>
  <c r="F133" i="2"/>
  <c r="G133" i="2" s="1"/>
  <c r="H133" i="2" l="1"/>
  <c r="D134" i="2" s="1"/>
  <c r="I134" i="2" l="1"/>
  <c r="K134" i="2" s="1"/>
  <c r="F134" i="2"/>
  <c r="G134" i="2" s="1"/>
  <c r="H134" i="2" l="1"/>
  <c r="D135" i="2" s="1"/>
  <c r="I135" i="2" l="1"/>
  <c r="K135" i="2" s="1"/>
  <c r="F135" i="2"/>
  <c r="G135" i="2" s="1"/>
  <c r="H135" i="2" l="1"/>
  <c r="D136" i="2" s="1"/>
  <c r="I136" i="2" l="1"/>
  <c r="F136" i="2"/>
  <c r="G136" i="2" s="1"/>
  <c r="K136" i="2" l="1"/>
  <c r="H136" i="2" l="1"/>
  <c r="D137" i="2" s="1"/>
  <c r="I137" i="2" l="1"/>
  <c r="F137" i="2"/>
  <c r="G137" i="2" s="1"/>
  <c r="K137" i="2" l="1"/>
  <c r="H137" i="2" l="1"/>
  <c r="D138" i="2" s="1"/>
  <c r="F138" i="2" l="1"/>
  <c r="G138" i="2" s="1"/>
  <c r="I138" i="2"/>
  <c r="K138" i="2" l="1"/>
  <c r="H138" i="2" l="1"/>
  <c r="D139" i="2" s="1"/>
  <c r="I139" i="2" l="1"/>
  <c r="F139" i="2"/>
  <c r="G139" i="2" s="1"/>
  <c r="K139" i="2" l="1"/>
  <c r="H139" i="2" l="1"/>
  <c r="D140" i="2" s="1"/>
  <c r="F140" i="2" l="1"/>
  <c r="G140" i="2" s="1"/>
  <c r="I140" i="2"/>
  <c r="K140" i="2" l="1"/>
  <c r="H140" i="2" l="1"/>
  <c r="D141" i="2" s="1"/>
  <c r="I141" i="2" l="1"/>
  <c r="F141" i="2"/>
  <c r="G141" i="2" s="1"/>
  <c r="K141" i="2" l="1"/>
  <c r="H141" i="2"/>
  <c r="D142" i="2" s="1"/>
  <c r="I142" i="2" l="1"/>
  <c r="K142" i="2" s="1"/>
  <c r="F142" i="2"/>
  <c r="G142" i="2" s="1"/>
  <c r="H142" i="2" l="1"/>
  <c r="D143" i="2" s="1"/>
  <c r="I143" i="2" l="1"/>
  <c r="K143" i="2" s="1"/>
  <c r="F143" i="2"/>
  <c r="G143" i="2" s="1"/>
  <c r="H143" i="2" l="1"/>
  <c r="D144" i="2" s="1"/>
  <c r="I144" i="2" l="1"/>
  <c r="K144" i="2" s="1"/>
  <c r="F144" i="2"/>
  <c r="G144" i="2" s="1"/>
  <c r="H144" i="2" l="1"/>
  <c r="D145" i="2" s="1"/>
  <c r="F145" i="2" l="1"/>
  <c r="G145" i="2" s="1"/>
  <c r="I145" i="2"/>
  <c r="K145" i="2" s="1"/>
  <c r="H145" i="2" l="1"/>
  <c r="D146" i="2" s="1"/>
  <c r="F146" i="2" l="1"/>
  <c r="G146" i="2" s="1"/>
  <c r="I146" i="2"/>
  <c r="K146" i="2" s="1"/>
  <c r="H146" i="2" l="1"/>
  <c r="D147" i="2" s="1"/>
  <c r="I147" i="2" l="1"/>
  <c r="K147" i="2" s="1"/>
  <c r="F147" i="2"/>
  <c r="G147" i="2" s="1"/>
  <c r="H147" i="2" l="1"/>
  <c r="D148" i="2" s="1"/>
  <c r="I148" i="2" l="1"/>
  <c r="K148" i="2" s="1"/>
  <c r="F148" i="2"/>
  <c r="G148" i="2" s="1"/>
  <c r="H148" i="2" l="1"/>
  <c r="D149" i="2" s="1"/>
  <c r="I149" i="2" l="1"/>
  <c r="K149" i="2" s="1"/>
  <c r="F149" i="2"/>
  <c r="G149" i="2" s="1"/>
  <c r="H149" i="2" l="1"/>
  <c r="D150" i="2" s="1"/>
  <c r="I150" i="2" l="1"/>
  <c r="K150" i="2" s="1"/>
  <c r="F150" i="2"/>
  <c r="G150" i="2" s="1"/>
  <c r="H150" i="2" l="1"/>
  <c r="D151" i="2" s="1"/>
  <c r="I151" i="2" l="1"/>
  <c r="K151" i="2" s="1"/>
  <c r="F151" i="2"/>
  <c r="G151" i="2" s="1"/>
  <c r="H151" i="2" l="1"/>
  <c r="D152" i="2" s="1"/>
  <c r="F152" i="2" l="1"/>
  <c r="G152" i="2" s="1"/>
  <c r="I152" i="2"/>
  <c r="K152" i="2" s="1"/>
  <c r="H152" i="2" l="1"/>
  <c r="D153" i="2" s="1"/>
  <c r="F153" i="2" l="1"/>
  <c r="G153" i="2" s="1"/>
  <c r="I153" i="2"/>
  <c r="K153" i="2" s="1"/>
  <c r="H153" i="2" l="1"/>
  <c r="D154" i="2" s="1"/>
  <c r="I154" i="2" l="1"/>
  <c r="K154" i="2" s="1"/>
  <c r="F154" i="2"/>
  <c r="G154" i="2" s="1"/>
  <c r="H154" i="2" l="1"/>
  <c r="D155" i="2" s="1"/>
  <c r="I155" i="2" l="1"/>
  <c r="K155" i="2" s="1"/>
  <c r="F155" i="2"/>
  <c r="G155" i="2" s="1"/>
  <c r="H155" i="2" l="1"/>
  <c r="D156" i="2" s="1"/>
  <c r="I156" i="2" l="1"/>
  <c r="K156" i="2" s="1"/>
  <c r="F156" i="2"/>
  <c r="G156" i="2" s="1"/>
  <c r="H156" i="2" l="1"/>
  <c r="D157" i="2" s="1"/>
  <c r="I157" i="2" l="1"/>
  <c r="K157" i="2" s="1"/>
  <c r="F157" i="2"/>
  <c r="G157" i="2" s="1"/>
  <c r="H157" i="2" l="1"/>
  <c r="D158" i="2" s="1"/>
  <c r="F158" i="2" l="1"/>
  <c r="G158" i="2" s="1"/>
  <c r="I158" i="2"/>
  <c r="K158" i="2" s="1"/>
  <c r="H158" i="2" l="1"/>
  <c r="D159" i="2" s="1"/>
  <c r="I159" i="2" l="1"/>
  <c r="K159" i="2" s="1"/>
  <c r="F159" i="2"/>
  <c r="G159" i="2" s="1"/>
  <c r="H159" i="2" l="1"/>
  <c r="D160" i="2" s="1"/>
  <c r="I160" i="2" l="1"/>
  <c r="K160" i="2" s="1"/>
  <c r="F160" i="2"/>
  <c r="G160" i="2" s="1"/>
  <c r="H160" i="2" l="1"/>
  <c r="D161" i="2" s="1"/>
  <c r="F161" i="2" l="1"/>
  <c r="G161" i="2" s="1"/>
  <c r="I161" i="2"/>
  <c r="K161" i="2" s="1"/>
  <c r="H161" i="2" l="1"/>
  <c r="D162" i="2" s="1"/>
  <c r="I162" i="2" l="1"/>
  <c r="K162" i="2" s="1"/>
  <c r="F162" i="2"/>
  <c r="G162" i="2" s="1"/>
  <c r="H162" i="2" l="1"/>
  <c r="D163" i="2" s="1"/>
  <c r="I163" i="2" l="1"/>
  <c r="K163" i="2" s="1"/>
  <c r="F163" i="2"/>
  <c r="G163" i="2" s="1"/>
  <c r="H163" i="2" l="1"/>
  <c r="D164" i="2" s="1"/>
  <c r="I164" i="2" l="1"/>
  <c r="K164" i="2" s="1"/>
  <c r="F164" i="2"/>
  <c r="G164" i="2" s="1"/>
  <c r="H164" i="2" l="1"/>
  <c r="D165" i="2" s="1"/>
  <c r="I165" i="2" l="1"/>
  <c r="K165" i="2" s="1"/>
  <c r="F165" i="2"/>
  <c r="G165" i="2" s="1"/>
  <c r="H165" i="2" l="1"/>
  <c r="D166" i="2" s="1"/>
  <c r="I166" i="2" l="1"/>
  <c r="K166" i="2" s="1"/>
  <c r="F166" i="2"/>
  <c r="G166" i="2" s="1"/>
  <c r="H166" i="2" l="1"/>
  <c r="D167" i="2" s="1"/>
  <c r="F167" i="2" l="1"/>
  <c r="G167" i="2" s="1"/>
  <c r="I167" i="2"/>
  <c r="K167" i="2" s="1"/>
  <c r="H167" i="2" l="1"/>
  <c r="D168" i="2" s="1"/>
  <c r="I168" i="2" l="1"/>
  <c r="K168" i="2" s="1"/>
  <c r="F168" i="2"/>
  <c r="G168" i="2" s="1"/>
  <c r="H168" i="2" l="1"/>
  <c r="D169" i="2" s="1"/>
  <c r="I169" i="2" l="1"/>
  <c r="K169" i="2" s="1"/>
  <c r="F169" i="2"/>
  <c r="G169" i="2" s="1"/>
  <c r="H169" i="2" l="1"/>
  <c r="D170" i="2" s="1"/>
  <c r="F170" i="2" l="1"/>
  <c r="G170" i="2" s="1"/>
  <c r="I170" i="2"/>
  <c r="K170" i="2" s="1"/>
  <c r="H170" i="2" l="1"/>
  <c r="D171" i="2" s="1"/>
  <c r="I171" i="2" l="1"/>
  <c r="K171" i="2" s="1"/>
  <c r="F171" i="2"/>
  <c r="G171" i="2" s="1"/>
  <c r="H171" i="2" l="1"/>
  <c r="D172" i="2" s="1"/>
  <c r="F172" i="2" l="1"/>
  <c r="G172" i="2" s="1"/>
  <c r="I172" i="2"/>
  <c r="K172" i="2" s="1"/>
  <c r="H172" i="2" l="1"/>
  <c r="D173" i="2" s="1"/>
  <c r="F173" i="2" l="1"/>
  <c r="G173" i="2" s="1"/>
  <c r="I173" i="2"/>
  <c r="K173" i="2" s="1"/>
  <c r="H173" i="2" l="1"/>
  <c r="D174" i="2" s="1"/>
  <c r="I174" i="2" l="1"/>
  <c r="K174" i="2" s="1"/>
  <c r="F174" i="2"/>
  <c r="G174" i="2" s="1"/>
  <c r="H174" i="2" l="1"/>
  <c r="D175" i="2" s="1"/>
  <c r="I175" i="2" l="1"/>
  <c r="K175" i="2" s="1"/>
  <c r="F175" i="2"/>
  <c r="G175" i="2" s="1"/>
  <c r="H175" i="2" l="1"/>
  <c r="D176" i="2" s="1"/>
  <c r="I176" i="2" l="1"/>
  <c r="K176" i="2" s="1"/>
  <c r="F176" i="2"/>
  <c r="G176" i="2" s="1"/>
  <c r="H176" i="2" l="1"/>
  <c r="D177" i="2" s="1"/>
  <c r="I177" i="2" l="1"/>
  <c r="K177" i="2" s="1"/>
  <c r="F177" i="2"/>
  <c r="G177" i="2" s="1"/>
  <c r="H177" i="2" l="1"/>
  <c r="D178" i="2" s="1"/>
  <c r="I178" i="2" l="1"/>
  <c r="K178" i="2" s="1"/>
  <c r="F178" i="2"/>
  <c r="G178" i="2" s="1"/>
  <c r="H178" i="2" l="1"/>
  <c r="D179" i="2" s="1"/>
  <c r="I179" i="2" l="1"/>
  <c r="K179" i="2" s="1"/>
  <c r="F179" i="2"/>
  <c r="G179" i="2" s="1"/>
  <c r="H179" i="2" l="1"/>
  <c r="D180" i="2" s="1"/>
  <c r="I180" i="2" l="1"/>
  <c r="K180" i="2" s="1"/>
  <c r="F180" i="2"/>
  <c r="G180" i="2" s="1"/>
  <c r="H180" i="2" l="1"/>
  <c r="D181" i="2" s="1"/>
  <c r="I181" i="2" l="1"/>
  <c r="K181" i="2" s="1"/>
  <c r="F181" i="2"/>
  <c r="G181" i="2" s="1"/>
  <c r="H181" i="2" l="1"/>
  <c r="D182" i="2" s="1"/>
  <c r="F182" i="2" l="1"/>
  <c r="G182" i="2" s="1"/>
  <c r="I182" i="2"/>
  <c r="K182" i="2" s="1"/>
  <c r="H182" i="2" l="1"/>
  <c r="D183" i="2" s="1"/>
  <c r="I183" i="2" l="1"/>
  <c r="K183" i="2" s="1"/>
  <c r="F183" i="2"/>
  <c r="G183" i="2" s="1"/>
  <c r="H183" i="2" l="1"/>
  <c r="D184" i="2" s="1"/>
  <c r="F184" i="2" l="1"/>
  <c r="G184" i="2" s="1"/>
  <c r="I184" i="2"/>
  <c r="K184" i="2" s="1"/>
  <c r="H184" i="2" l="1"/>
  <c r="D185" i="2" s="1"/>
  <c r="I185" i="2" l="1"/>
  <c r="K185" i="2" s="1"/>
  <c r="F185" i="2"/>
  <c r="G185" i="2" s="1"/>
  <c r="H185" i="2" l="1"/>
  <c r="D186" i="2" s="1"/>
  <c r="I186" i="2" l="1"/>
  <c r="K186" i="2" s="1"/>
  <c r="F186" i="2"/>
  <c r="G186" i="2" s="1"/>
  <c r="H186" i="2" l="1"/>
  <c r="D187" i="2" s="1"/>
  <c r="F187" i="2" l="1"/>
  <c r="G187" i="2" s="1"/>
  <c r="I187" i="2"/>
  <c r="K187" i="2" s="1"/>
  <c r="H187" i="2" l="1"/>
  <c r="D188" i="2" s="1"/>
  <c r="F188" i="2" l="1"/>
  <c r="G188" i="2" s="1"/>
  <c r="I188" i="2"/>
  <c r="K188" i="2" s="1"/>
  <c r="H188" i="2" l="1"/>
  <c r="D189" i="2" s="1"/>
  <c r="I189" i="2" l="1"/>
  <c r="K189" i="2" s="1"/>
  <c r="F189" i="2"/>
  <c r="G189" i="2" s="1"/>
  <c r="H189" i="2" l="1"/>
  <c r="D190" i="2" s="1"/>
  <c r="I190" i="2" l="1"/>
  <c r="K190" i="2" s="1"/>
  <c r="F190" i="2"/>
  <c r="G190" i="2" s="1"/>
  <c r="H190" i="2" l="1"/>
  <c r="D191" i="2" s="1"/>
  <c r="I191" i="2" l="1"/>
  <c r="K191" i="2" s="1"/>
  <c r="F191" i="2"/>
  <c r="G191" i="2" s="1"/>
  <c r="H191" i="2" l="1"/>
  <c r="D192" i="2" s="1"/>
  <c r="I192" i="2" l="1"/>
  <c r="K192" i="2" s="1"/>
  <c r="F192" i="2"/>
  <c r="G192" i="2" s="1"/>
  <c r="H192" i="2" l="1"/>
  <c r="D193" i="2" s="1"/>
  <c r="I193" i="2" l="1"/>
  <c r="K193" i="2" s="1"/>
  <c r="F193" i="2"/>
  <c r="G193" i="2" s="1"/>
  <c r="H193" i="2" l="1"/>
  <c r="D194" i="2" s="1"/>
  <c r="I194" i="2" l="1"/>
  <c r="K194" i="2" s="1"/>
  <c r="F194" i="2"/>
  <c r="G194" i="2" s="1"/>
  <c r="H194" i="2" l="1"/>
  <c r="D195" i="2" s="1"/>
  <c r="F195" i="2" l="1"/>
  <c r="G195" i="2" s="1"/>
  <c r="I195" i="2"/>
  <c r="K195" i="2" s="1"/>
  <c r="H195" i="2" l="1"/>
  <c r="D196" i="2" s="1"/>
  <c r="F196" i="2" l="1"/>
  <c r="G196" i="2" s="1"/>
  <c r="I196" i="2"/>
  <c r="K196" i="2" s="1"/>
  <c r="H196" i="2" l="1"/>
  <c r="D197" i="2" s="1"/>
  <c r="I197" i="2" l="1"/>
  <c r="K197" i="2" s="1"/>
  <c r="F197" i="2"/>
  <c r="G197" i="2" s="1"/>
  <c r="H197" i="2" l="1"/>
  <c r="D198" i="2" s="1"/>
  <c r="I198" i="2" l="1"/>
  <c r="K198" i="2" s="1"/>
  <c r="F198" i="2"/>
  <c r="G198" i="2" s="1"/>
  <c r="H198" i="2" l="1"/>
  <c r="D199" i="2" s="1"/>
  <c r="F199" i="2" l="1"/>
  <c r="G199" i="2" s="1"/>
  <c r="I199" i="2"/>
  <c r="K199" i="2" s="1"/>
  <c r="H199" i="2" l="1"/>
  <c r="D200" i="2" s="1"/>
  <c r="F200" i="2" l="1"/>
  <c r="G200" i="2" s="1"/>
  <c r="I200" i="2"/>
  <c r="K200" i="2" s="1"/>
  <c r="H200" i="2" l="1"/>
  <c r="D201" i="2" s="1"/>
  <c r="I201" i="2" l="1"/>
  <c r="K201" i="2" s="1"/>
  <c r="F201" i="2"/>
  <c r="G201" i="2" s="1"/>
  <c r="H201" i="2" l="1"/>
  <c r="D202" i="2" s="1"/>
  <c r="I202" i="2" l="1"/>
  <c r="K202" i="2" s="1"/>
  <c r="F202" i="2"/>
  <c r="G202" i="2" s="1"/>
  <c r="H202" i="2" l="1"/>
  <c r="D203" i="2" s="1"/>
  <c r="I203" i="2" l="1"/>
  <c r="K203" i="2" s="1"/>
  <c r="F203" i="2"/>
  <c r="G203" i="2" s="1"/>
  <c r="H203" i="2" l="1"/>
  <c r="D204" i="2" s="1"/>
  <c r="F204" i="2" l="1"/>
  <c r="G204" i="2" s="1"/>
  <c r="I204" i="2"/>
  <c r="K204" i="2" s="1"/>
  <c r="H204" i="2" l="1"/>
  <c r="D205" i="2" s="1"/>
  <c r="I205" i="2" l="1"/>
  <c r="K205" i="2" s="1"/>
  <c r="F205" i="2"/>
  <c r="G205" i="2" s="1"/>
  <c r="H205" i="2" l="1"/>
  <c r="D206" i="2" s="1"/>
  <c r="F206" i="2" l="1"/>
  <c r="G206" i="2" s="1"/>
  <c r="I206" i="2"/>
  <c r="K206" i="2" s="1"/>
  <c r="H206" i="2" l="1"/>
  <c r="D207" i="2" s="1"/>
  <c r="F207" i="2" l="1"/>
  <c r="G207" i="2" s="1"/>
  <c r="I207" i="2"/>
  <c r="K207" i="2" s="1"/>
  <c r="H207" i="2" l="1"/>
  <c r="D208" i="2" s="1"/>
  <c r="I208" i="2" l="1"/>
  <c r="K208" i="2" s="1"/>
  <c r="F208" i="2"/>
  <c r="G208" i="2" s="1"/>
  <c r="H208" i="2" l="1"/>
  <c r="D209" i="2" s="1"/>
  <c r="I209" i="2" l="1"/>
  <c r="K209" i="2" s="1"/>
  <c r="F209" i="2"/>
  <c r="G209" i="2" s="1"/>
  <c r="H209" i="2" l="1"/>
  <c r="D210" i="2" s="1"/>
  <c r="I210" i="2" l="1"/>
  <c r="K210" i="2" s="1"/>
  <c r="F210" i="2"/>
  <c r="G210" i="2" s="1"/>
  <c r="H210" i="2" l="1"/>
  <c r="D211" i="2" s="1"/>
  <c r="I211" i="2" l="1"/>
  <c r="K211" i="2" s="1"/>
  <c r="F211" i="2"/>
  <c r="G211" i="2" s="1"/>
  <c r="H211" i="2" l="1"/>
  <c r="D212" i="2" s="1"/>
  <c r="I212" i="2" l="1"/>
  <c r="K212" i="2" s="1"/>
  <c r="F212" i="2"/>
  <c r="G212" i="2" s="1"/>
  <c r="H212" i="2" l="1"/>
  <c r="D213" i="2" s="1"/>
  <c r="I213" i="2" l="1"/>
  <c r="K213" i="2" s="1"/>
  <c r="F213" i="2"/>
  <c r="G213" i="2" s="1"/>
  <c r="H213" i="2" l="1"/>
  <c r="D214" i="2" s="1"/>
  <c r="F214" i="2" l="1"/>
  <c r="G214" i="2" s="1"/>
  <c r="I214" i="2"/>
  <c r="K214" i="2" s="1"/>
  <c r="H214" i="2" l="1"/>
  <c r="D215" i="2" s="1"/>
  <c r="F215" i="2" l="1"/>
  <c r="G215" i="2" s="1"/>
  <c r="I215" i="2"/>
  <c r="K215" i="2" s="1"/>
  <c r="H215" i="2" l="1"/>
  <c r="D216" i="2" s="1"/>
  <c r="I216" i="2" l="1"/>
  <c r="K216" i="2" s="1"/>
  <c r="F216" i="2"/>
  <c r="G216" i="2" s="1"/>
  <c r="H216" i="2" l="1"/>
  <c r="D217" i="2" s="1"/>
  <c r="I217" i="2" l="1"/>
  <c r="K217" i="2" s="1"/>
  <c r="F217" i="2"/>
  <c r="G217" i="2" s="1"/>
  <c r="H217" i="2" l="1"/>
  <c r="D218" i="2" s="1"/>
  <c r="I218" i="2" l="1"/>
  <c r="K218" i="2" s="1"/>
  <c r="F218" i="2"/>
  <c r="G218" i="2" s="1"/>
  <c r="H218" i="2" l="1"/>
  <c r="D219" i="2" s="1"/>
  <c r="I219" i="2" l="1"/>
  <c r="K219" i="2" s="1"/>
  <c r="F219" i="2"/>
  <c r="G219" i="2" s="1"/>
  <c r="H219" i="2" l="1"/>
  <c r="D220" i="2" s="1"/>
  <c r="I220" i="2" l="1"/>
  <c r="K220" i="2" s="1"/>
  <c r="F220" i="2"/>
  <c r="G220" i="2" s="1"/>
  <c r="H220" i="2" l="1"/>
  <c r="D221" i="2" s="1"/>
  <c r="F221" i="2" l="1"/>
  <c r="G221" i="2" s="1"/>
  <c r="I221" i="2"/>
  <c r="K221" i="2" s="1"/>
  <c r="H221" i="2" l="1"/>
  <c r="D222" i="2" s="1"/>
  <c r="I222" i="2" l="1"/>
  <c r="K222" i="2" s="1"/>
  <c r="F222" i="2"/>
  <c r="G222" i="2" s="1"/>
  <c r="H222" i="2" l="1"/>
  <c r="D223" i="2" s="1"/>
  <c r="I223" i="2" l="1"/>
  <c r="K223" i="2" s="1"/>
  <c r="F223" i="2"/>
  <c r="G223" i="2" s="1"/>
  <c r="H223" i="2" l="1"/>
  <c r="D224" i="2" s="1"/>
  <c r="I224" i="2" l="1"/>
  <c r="K224" i="2" s="1"/>
  <c r="F224" i="2"/>
  <c r="G224" i="2" s="1"/>
  <c r="H224" i="2" l="1"/>
  <c r="D225" i="2" s="1"/>
  <c r="I225" i="2" l="1"/>
  <c r="K225" i="2" s="1"/>
  <c r="F225" i="2"/>
  <c r="G225" i="2" s="1"/>
  <c r="H225" i="2" l="1"/>
  <c r="D226" i="2" s="1"/>
  <c r="I226" i="2" l="1"/>
  <c r="K226" i="2" s="1"/>
  <c r="F226" i="2"/>
  <c r="G226" i="2" s="1"/>
  <c r="H226" i="2" l="1"/>
  <c r="D227" i="2" s="1"/>
  <c r="I227" i="2" l="1"/>
  <c r="K227" i="2" s="1"/>
  <c r="F227" i="2"/>
  <c r="G227" i="2" s="1"/>
  <c r="H227" i="2" l="1"/>
  <c r="D228" i="2" s="1"/>
  <c r="I228" i="2" l="1"/>
  <c r="K228" i="2" s="1"/>
  <c r="F228" i="2"/>
  <c r="G228" i="2" s="1"/>
  <c r="H228" i="2" l="1"/>
  <c r="D229" i="2" s="1"/>
  <c r="I229" i="2" l="1"/>
  <c r="K229" i="2" s="1"/>
  <c r="F229" i="2"/>
  <c r="G229" i="2" s="1"/>
  <c r="H229" i="2" l="1"/>
  <c r="D230" i="2" s="1"/>
  <c r="F230" i="2" l="1"/>
  <c r="G230" i="2" s="1"/>
  <c r="I230" i="2"/>
  <c r="K230" i="2" s="1"/>
  <c r="H230" i="2" l="1"/>
  <c r="D231" i="2" s="1"/>
  <c r="F231" i="2" l="1"/>
  <c r="G231" i="2" s="1"/>
  <c r="I231" i="2"/>
  <c r="K231" i="2" s="1"/>
  <c r="H231" i="2" l="1"/>
  <c r="D232" i="2" s="1"/>
  <c r="F232" i="2" l="1"/>
  <c r="G232" i="2" s="1"/>
  <c r="I232" i="2"/>
  <c r="K232" i="2" s="1"/>
  <c r="H232" i="2" l="1"/>
  <c r="D233" i="2" s="1"/>
  <c r="I233" i="2" l="1"/>
  <c r="K233" i="2" s="1"/>
  <c r="F233" i="2"/>
  <c r="G233" i="2" s="1"/>
  <c r="H233" i="2" l="1"/>
  <c r="D234" i="2" s="1"/>
  <c r="I234" i="2" l="1"/>
  <c r="K234" i="2" s="1"/>
  <c r="F234" i="2"/>
  <c r="G234" i="2" s="1"/>
  <c r="H234" i="2" l="1"/>
  <c r="D235" i="2" s="1"/>
  <c r="F235" i="2" l="1"/>
  <c r="G235" i="2" s="1"/>
  <c r="I235" i="2"/>
  <c r="K235" i="2" s="1"/>
  <c r="H235" i="2" l="1"/>
  <c r="D236" i="2" s="1"/>
  <c r="I236" i="2" l="1"/>
  <c r="K236" i="2" s="1"/>
  <c r="F236" i="2"/>
  <c r="G236" i="2" s="1"/>
  <c r="H236" i="2" l="1"/>
  <c r="D237" i="2" s="1"/>
  <c r="I237" i="2" l="1"/>
  <c r="K237" i="2" s="1"/>
  <c r="F237" i="2"/>
  <c r="G237" i="2" s="1"/>
  <c r="H237" i="2" l="1"/>
  <c r="D238" i="2" s="1"/>
  <c r="I238" i="2" l="1"/>
  <c r="K238" i="2" s="1"/>
  <c r="F238" i="2"/>
  <c r="G238" i="2" s="1"/>
  <c r="H238" i="2" l="1"/>
  <c r="D239" i="2" s="1"/>
  <c r="I239" i="2" l="1"/>
  <c r="K239" i="2" s="1"/>
  <c r="F239" i="2"/>
  <c r="G239" i="2" s="1"/>
  <c r="H239" i="2" l="1"/>
  <c r="D240" i="2" s="1"/>
  <c r="I240" i="2" l="1"/>
  <c r="K240" i="2" s="1"/>
  <c r="F240" i="2"/>
  <c r="G240" i="2" s="1"/>
  <c r="H240" i="2" l="1"/>
  <c r="D241" i="2" s="1"/>
  <c r="I241" i="2" l="1"/>
  <c r="K241" i="2" s="1"/>
  <c r="F241" i="2"/>
  <c r="G241" i="2" s="1"/>
  <c r="H241" i="2" l="1"/>
  <c r="D242" i="2" s="1"/>
  <c r="I242" i="2" l="1"/>
  <c r="K242" i="2" s="1"/>
  <c r="F242" i="2"/>
  <c r="G242" i="2" s="1"/>
  <c r="H242" i="2" l="1"/>
  <c r="D243" i="2" s="1"/>
  <c r="I243" i="2" l="1"/>
  <c r="K243" i="2" s="1"/>
  <c r="F243" i="2"/>
  <c r="G243" i="2" s="1"/>
  <c r="H243" i="2" l="1"/>
  <c r="D244" i="2" s="1"/>
  <c r="I244" i="2" l="1"/>
  <c r="K244" i="2" s="1"/>
  <c r="F244" i="2"/>
  <c r="G244" i="2" s="1"/>
  <c r="H244" i="2" l="1"/>
  <c r="D245" i="2" s="1"/>
  <c r="F245" i="2" l="1"/>
  <c r="G245" i="2" s="1"/>
  <c r="I245" i="2"/>
  <c r="K245" i="2" s="1"/>
  <c r="H245" i="2" l="1"/>
  <c r="D246" i="2" s="1"/>
  <c r="I246" i="2" l="1"/>
  <c r="K246" i="2" s="1"/>
  <c r="F246" i="2"/>
  <c r="G246" i="2" s="1"/>
  <c r="H246" i="2" l="1"/>
  <c r="D247" i="2" s="1"/>
  <c r="F247" i="2" l="1"/>
  <c r="G247" i="2" s="1"/>
  <c r="I247" i="2"/>
  <c r="K247" i="2" s="1"/>
  <c r="H247" i="2" l="1"/>
  <c r="D248" i="2" s="1"/>
  <c r="I248" i="2" l="1"/>
  <c r="K248" i="2" s="1"/>
  <c r="F248" i="2"/>
  <c r="G248" i="2" s="1"/>
  <c r="H248" i="2" l="1"/>
  <c r="D249" i="2" s="1"/>
  <c r="I249" i="2" l="1"/>
  <c r="K249" i="2" s="1"/>
  <c r="F249" i="2"/>
  <c r="G249" i="2" s="1"/>
  <c r="H249" i="2" l="1"/>
  <c r="D250" i="2" s="1"/>
  <c r="I250" i="2" l="1"/>
  <c r="K250" i="2" s="1"/>
  <c r="F250" i="2"/>
  <c r="G250" i="2" s="1"/>
  <c r="H250" i="2" l="1"/>
  <c r="D251" i="2" s="1"/>
  <c r="I251" i="2" l="1"/>
  <c r="K251" i="2" s="1"/>
  <c r="F251" i="2"/>
  <c r="G251" i="2" s="1"/>
  <c r="H251" i="2" l="1"/>
  <c r="D252" i="2" s="1"/>
  <c r="I252" i="2" l="1"/>
  <c r="K252" i="2" s="1"/>
  <c r="F252" i="2"/>
  <c r="G252" i="2" s="1"/>
  <c r="H252" i="2" l="1"/>
  <c r="D253" i="2" s="1"/>
  <c r="F253" i="2" l="1"/>
  <c r="G253" i="2" s="1"/>
  <c r="I253" i="2"/>
  <c r="K253" i="2" s="1"/>
  <c r="H253" i="2" l="1"/>
  <c r="D254" i="2" s="1"/>
  <c r="I254" i="2" l="1"/>
  <c r="K254" i="2" s="1"/>
  <c r="F254" i="2"/>
  <c r="G254" i="2" s="1"/>
  <c r="H254" i="2" l="1"/>
  <c r="D255" i="2" s="1"/>
  <c r="I255" i="2" l="1"/>
  <c r="K255" i="2" s="1"/>
  <c r="F255" i="2"/>
  <c r="G255" i="2" s="1"/>
  <c r="H255" i="2" l="1"/>
  <c r="D256" i="2" s="1"/>
  <c r="I256" i="2" l="1"/>
  <c r="K256" i="2" s="1"/>
  <c r="F256" i="2"/>
  <c r="G256" i="2" s="1"/>
  <c r="H256" i="2" l="1"/>
  <c r="D257" i="2" s="1"/>
  <c r="F257" i="2" l="1"/>
  <c r="G257" i="2" s="1"/>
  <c r="I257" i="2"/>
  <c r="K257" i="2" s="1"/>
  <c r="H257" i="2" l="1"/>
  <c r="D258" i="2" s="1"/>
  <c r="I258" i="2" l="1"/>
  <c r="K258" i="2" s="1"/>
  <c r="F258" i="2"/>
  <c r="G258" i="2" s="1"/>
  <c r="H258" i="2" l="1"/>
  <c r="D259" i="2" s="1"/>
  <c r="I259" i="2" l="1"/>
  <c r="K259" i="2" s="1"/>
  <c r="F259" i="2"/>
  <c r="G259" i="2" s="1"/>
  <c r="H259" i="2" l="1"/>
  <c r="D260" i="2" s="1"/>
  <c r="I260" i="2" l="1"/>
  <c r="K260" i="2" s="1"/>
  <c r="F260" i="2"/>
  <c r="G260" i="2" s="1"/>
  <c r="H260" i="2" l="1"/>
  <c r="D261" i="2" s="1"/>
  <c r="F261" i="2" l="1"/>
  <c r="G261" i="2" s="1"/>
  <c r="I261" i="2"/>
  <c r="K261" i="2" s="1"/>
  <c r="H261" i="2" l="1"/>
  <c r="D262" i="2" s="1"/>
  <c r="F262" i="2" l="1"/>
  <c r="G262" i="2" s="1"/>
  <c r="I262" i="2"/>
  <c r="K262" i="2" s="1"/>
  <c r="H262" i="2" l="1"/>
  <c r="D263" i="2" s="1"/>
  <c r="I263" i="2" l="1"/>
  <c r="K263" i="2" s="1"/>
  <c r="F263" i="2"/>
  <c r="G263" i="2" s="1"/>
  <c r="H263" i="2" l="1"/>
  <c r="D264" i="2" s="1"/>
  <c r="I264" i="2" l="1"/>
  <c r="K264" i="2" s="1"/>
  <c r="F264" i="2"/>
  <c r="G264" i="2" s="1"/>
  <c r="H264" i="2" l="1"/>
  <c r="D265" i="2" s="1"/>
  <c r="I265" i="2" l="1"/>
  <c r="K265" i="2" s="1"/>
  <c r="F265" i="2"/>
  <c r="G265" i="2" s="1"/>
  <c r="H265" i="2" l="1"/>
  <c r="D266" i="2" s="1"/>
  <c r="I266" i="2" l="1"/>
  <c r="K266" i="2" s="1"/>
  <c r="F266" i="2"/>
  <c r="G266" i="2" s="1"/>
  <c r="H266" i="2" l="1"/>
  <c r="D267" i="2" s="1"/>
  <c r="I267" i="2" l="1"/>
  <c r="K267" i="2" s="1"/>
  <c r="F267" i="2"/>
  <c r="G267" i="2" s="1"/>
  <c r="H267" i="2" l="1"/>
  <c r="D268" i="2" s="1"/>
  <c r="I268" i="2" l="1"/>
  <c r="K268" i="2" s="1"/>
  <c r="F268" i="2"/>
  <c r="G268" i="2" s="1"/>
  <c r="H268" i="2" l="1"/>
  <c r="D269" i="2" s="1"/>
  <c r="I269" i="2" l="1"/>
  <c r="K269" i="2" s="1"/>
  <c r="F269" i="2"/>
  <c r="G269" i="2" s="1"/>
  <c r="H269" i="2" l="1"/>
  <c r="D270" i="2" s="1"/>
  <c r="I270" i="2" l="1"/>
  <c r="K270" i="2" s="1"/>
  <c r="F270" i="2"/>
  <c r="G270" i="2" s="1"/>
  <c r="H270" i="2" l="1"/>
  <c r="D271" i="2" s="1"/>
  <c r="I271" i="2" l="1"/>
  <c r="K271" i="2" s="1"/>
  <c r="F271" i="2"/>
  <c r="G271" i="2" s="1"/>
  <c r="H271" i="2" l="1"/>
  <c r="D272" i="2" s="1"/>
  <c r="I272" i="2" l="1"/>
  <c r="K272" i="2" s="1"/>
  <c r="F272" i="2"/>
  <c r="G272" i="2" s="1"/>
  <c r="H272" i="2" l="1"/>
  <c r="D273" i="2" s="1"/>
  <c r="I273" i="2" l="1"/>
  <c r="K273" i="2" s="1"/>
  <c r="F273" i="2"/>
  <c r="G273" i="2" s="1"/>
  <c r="H273" i="2" l="1"/>
  <c r="D274" i="2" s="1"/>
  <c r="I274" i="2" l="1"/>
  <c r="K274" i="2" s="1"/>
  <c r="F274" i="2"/>
  <c r="G274" i="2" s="1"/>
  <c r="H274" i="2" l="1"/>
  <c r="D275" i="2" s="1"/>
  <c r="I275" i="2" l="1"/>
  <c r="K275" i="2" s="1"/>
  <c r="F275" i="2"/>
  <c r="G275" i="2" s="1"/>
  <c r="H275" i="2" l="1"/>
  <c r="D276" i="2" s="1"/>
  <c r="I276" i="2" l="1"/>
  <c r="K276" i="2" s="1"/>
  <c r="F276" i="2"/>
  <c r="G276" i="2" s="1"/>
  <c r="H276" i="2" l="1"/>
  <c r="D277" i="2" s="1"/>
  <c r="I277" i="2" l="1"/>
  <c r="K277" i="2" s="1"/>
  <c r="F277" i="2"/>
  <c r="G277" i="2" s="1"/>
  <c r="H277" i="2" l="1"/>
  <c r="D278" i="2" s="1"/>
  <c r="F278" i="2" l="1"/>
  <c r="G278" i="2" s="1"/>
  <c r="I278" i="2"/>
  <c r="K278" i="2" s="1"/>
  <c r="H278" i="2" l="1"/>
  <c r="D279" i="2" s="1"/>
  <c r="I279" i="2" l="1"/>
  <c r="K279" i="2" s="1"/>
  <c r="F279" i="2"/>
  <c r="G279" i="2" s="1"/>
  <c r="H279" i="2" l="1"/>
  <c r="D280" i="2" s="1"/>
  <c r="F280" i="2" l="1"/>
  <c r="G280" i="2" s="1"/>
  <c r="I280" i="2"/>
  <c r="K280" i="2" s="1"/>
  <c r="H280" i="2" l="1"/>
  <c r="D281" i="2" s="1"/>
  <c r="I281" i="2" l="1"/>
  <c r="K281" i="2" s="1"/>
  <c r="F281" i="2"/>
  <c r="G281" i="2" s="1"/>
  <c r="H281" i="2" l="1"/>
  <c r="D282" i="2" s="1"/>
  <c r="I282" i="2" l="1"/>
  <c r="K282" i="2" s="1"/>
  <c r="F282" i="2"/>
  <c r="G282" i="2" s="1"/>
  <c r="H282" i="2" l="1"/>
  <c r="D283" i="2" s="1"/>
  <c r="I283" i="2" l="1"/>
  <c r="K283" i="2" s="1"/>
  <c r="F283" i="2"/>
  <c r="G283" i="2" s="1"/>
  <c r="H283" i="2" l="1"/>
  <c r="D284" i="2" s="1"/>
  <c r="F284" i="2" l="1"/>
  <c r="G284" i="2" s="1"/>
  <c r="I284" i="2"/>
  <c r="K284" i="2" s="1"/>
  <c r="H284" i="2" l="1"/>
  <c r="D285" i="2" s="1"/>
  <c r="I285" i="2" l="1"/>
  <c r="K285" i="2" s="1"/>
  <c r="F285" i="2"/>
  <c r="G285" i="2" s="1"/>
  <c r="H285" i="2" l="1"/>
  <c r="D286" i="2" s="1"/>
  <c r="F286" i="2" l="1"/>
  <c r="G286" i="2" s="1"/>
  <c r="I286" i="2"/>
  <c r="K286" i="2" s="1"/>
  <c r="H286" i="2" l="1"/>
  <c r="D287" i="2" s="1"/>
  <c r="I287" i="2" l="1"/>
  <c r="K287" i="2" s="1"/>
  <c r="F287" i="2"/>
  <c r="G287" i="2" s="1"/>
  <c r="H287" i="2" l="1"/>
  <c r="D288" i="2" s="1"/>
  <c r="I288" i="2" l="1"/>
  <c r="K288" i="2" s="1"/>
  <c r="F288" i="2"/>
  <c r="G288" i="2" s="1"/>
  <c r="H288" i="2" l="1"/>
  <c r="D289" i="2" s="1"/>
  <c r="I289" i="2" l="1"/>
  <c r="K289" i="2" s="1"/>
  <c r="F289" i="2"/>
  <c r="G289" i="2" s="1"/>
  <c r="H289" i="2" l="1"/>
  <c r="D290" i="2" s="1"/>
  <c r="I290" i="2" l="1"/>
  <c r="K290" i="2" s="1"/>
  <c r="F290" i="2"/>
  <c r="G290" i="2" s="1"/>
  <c r="H290" i="2" l="1"/>
  <c r="D291" i="2" s="1"/>
  <c r="I291" i="2" l="1"/>
  <c r="K291" i="2" s="1"/>
  <c r="F291" i="2"/>
  <c r="G291" i="2" s="1"/>
  <c r="H291" i="2" l="1"/>
  <c r="D292" i="2" s="1"/>
  <c r="I292" i="2" l="1"/>
  <c r="K292" i="2" s="1"/>
  <c r="F292" i="2"/>
  <c r="G292" i="2" s="1"/>
  <c r="H292" i="2" l="1"/>
  <c r="D293" i="2" s="1"/>
  <c r="I293" i="2" l="1"/>
  <c r="K293" i="2" s="1"/>
  <c r="F293" i="2"/>
  <c r="G293" i="2" s="1"/>
  <c r="H293" i="2" l="1"/>
  <c r="D294" i="2" s="1"/>
  <c r="I294" i="2" l="1"/>
  <c r="K294" i="2" s="1"/>
  <c r="F294" i="2"/>
  <c r="G294" i="2" s="1"/>
  <c r="H294" i="2" l="1"/>
  <c r="D295" i="2" s="1"/>
  <c r="I295" i="2" l="1"/>
  <c r="K295" i="2" s="1"/>
  <c r="F295" i="2"/>
  <c r="G295" i="2" s="1"/>
  <c r="H295" i="2" l="1"/>
  <c r="D296" i="2" s="1"/>
  <c r="F296" i="2" l="1"/>
  <c r="G296" i="2" s="1"/>
  <c r="I296" i="2"/>
  <c r="K296" i="2" s="1"/>
  <c r="H296" i="2" l="1"/>
  <c r="D297" i="2" s="1"/>
  <c r="I297" i="2" l="1"/>
  <c r="K297" i="2" s="1"/>
  <c r="F297" i="2"/>
  <c r="G297" i="2" s="1"/>
  <c r="H297" i="2" l="1"/>
  <c r="D298" i="2" s="1"/>
  <c r="I298" i="2" l="1"/>
  <c r="K298" i="2" s="1"/>
  <c r="F298" i="2"/>
  <c r="G298" i="2" s="1"/>
  <c r="H298" i="2" l="1"/>
  <c r="D299" i="2" s="1"/>
  <c r="F299" i="2" l="1"/>
  <c r="G299" i="2" s="1"/>
  <c r="I299" i="2"/>
  <c r="K299" i="2" s="1"/>
  <c r="H299" i="2" l="1"/>
  <c r="D300" i="2" s="1"/>
  <c r="I300" i="2" l="1"/>
  <c r="K300" i="2" s="1"/>
  <c r="F300" i="2"/>
  <c r="G300" i="2" s="1"/>
  <c r="H300" i="2" l="1"/>
  <c r="D301" i="2" s="1"/>
  <c r="F301" i="2" l="1"/>
  <c r="G301" i="2" s="1"/>
  <c r="I301" i="2"/>
  <c r="K301" i="2" s="1"/>
  <c r="H301" i="2" l="1"/>
  <c r="D302" i="2" s="1"/>
  <c r="I302" i="2" l="1"/>
  <c r="K302" i="2" s="1"/>
  <c r="F302" i="2"/>
  <c r="G302" i="2" s="1"/>
  <c r="H302" i="2" l="1"/>
  <c r="D303" i="2" s="1"/>
  <c r="F303" i="2" l="1"/>
  <c r="G303" i="2" s="1"/>
  <c r="I303" i="2"/>
  <c r="K303" i="2" s="1"/>
  <c r="H303" i="2" l="1"/>
  <c r="D304" i="2" s="1"/>
  <c r="I304" i="2" l="1"/>
  <c r="K304" i="2" s="1"/>
  <c r="F304" i="2"/>
  <c r="G304" i="2" s="1"/>
  <c r="H304" i="2" l="1"/>
  <c r="D305" i="2" s="1"/>
  <c r="I305" i="2" l="1"/>
  <c r="K305" i="2" s="1"/>
  <c r="F305" i="2"/>
  <c r="G305" i="2" s="1"/>
  <c r="H305" i="2" l="1"/>
  <c r="D306" i="2" s="1"/>
  <c r="I306" i="2" l="1"/>
  <c r="K306" i="2" s="1"/>
  <c r="F306" i="2"/>
  <c r="G306" i="2" s="1"/>
  <c r="H306" i="2" l="1"/>
  <c r="D307" i="2" s="1"/>
  <c r="I307" i="2" l="1"/>
  <c r="K307" i="2" s="1"/>
  <c r="F307" i="2"/>
  <c r="G307" i="2" s="1"/>
  <c r="H307" i="2" l="1"/>
  <c r="D308" i="2" s="1"/>
  <c r="I308" i="2" l="1"/>
  <c r="K308" i="2" s="1"/>
  <c r="F308" i="2"/>
  <c r="G308" i="2" s="1"/>
  <c r="H308" i="2" l="1"/>
  <c r="D309" i="2" s="1"/>
  <c r="I309" i="2" l="1"/>
  <c r="K309" i="2" s="1"/>
  <c r="F309" i="2"/>
  <c r="G309" i="2" s="1"/>
  <c r="H309" i="2" l="1"/>
  <c r="D310" i="2" s="1"/>
  <c r="I310" i="2" l="1"/>
  <c r="K310" i="2" s="1"/>
  <c r="F310" i="2"/>
  <c r="G310" i="2" s="1"/>
  <c r="H310" i="2" l="1"/>
  <c r="D311" i="2" s="1"/>
  <c r="I311" i="2" l="1"/>
  <c r="K311" i="2" s="1"/>
  <c r="F311" i="2"/>
  <c r="G311" i="2" s="1"/>
  <c r="H311" i="2" l="1"/>
  <c r="D312" i="2" s="1"/>
  <c r="F312" i="2" l="1"/>
  <c r="G312" i="2" s="1"/>
  <c r="I312" i="2"/>
  <c r="K312" i="2" s="1"/>
  <c r="H312" i="2" l="1"/>
  <c r="D313" i="2" s="1"/>
  <c r="I313" i="2" l="1"/>
  <c r="K313" i="2" s="1"/>
  <c r="F313" i="2"/>
  <c r="G313" i="2" s="1"/>
  <c r="H313" i="2" l="1"/>
  <c r="D314" i="2" s="1"/>
  <c r="I314" i="2" l="1"/>
  <c r="K314" i="2" s="1"/>
  <c r="F314" i="2"/>
  <c r="G314" i="2" s="1"/>
  <c r="H314" i="2" l="1"/>
  <c r="D315" i="2" s="1"/>
  <c r="I315" i="2" l="1"/>
  <c r="K315" i="2" s="1"/>
  <c r="F315" i="2"/>
  <c r="G315" i="2" s="1"/>
  <c r="H315" i="2" l="1"/>
  <c r="D316" i="2" s="1"/>
  <c r="F316" i="2" l="1"/>
  <c r="G316" i="2" s="1"/>
  <c r="I316" i="2"/>
  <c r="K316" i="2" s="1"/>
  <c r="H316" i="2" l="1"/>
  <c r="D317" i="2" s="1"/>
  <c r="I317" i="2" l="1"/>
  <c r="K317" i="2" s="1"/>
  <c r="F317" i="2"/>
  <c r="G317" i="2" s="1"/>
  <c r="H317" i="2" l="1"/>
  <c r="D318" i="2" s="1"/>
  <c r="F318" i="2" l="1"/>
  <c r="G318" i="2" s="1"/>
  <c r="I318" i="2"/>
  <c r="K318" i="2" s="1"/>
  <c r="H318" i="2" l="1"/>
  <c r="D319" i="2" s="1"/>
  <c r="I319" i="2" l="1"/>
  <c r="K319" i="2" s="1"/>
  <c r="F319" i="2"/>
  <c r="G319" i="2" s="1"/>
  <c r="H319" i="2" l="1"/>
  <c r="D320" i="2"/>
  <c r="I320" i="2" l="1"/>
  <c r="K320" i="2" s="1"/>
  <c r="F320" i="2"/>
  <c r="G320" i="2" s="1"/>
  <c r="H320" i="2" l="1"/>
  <c r="D321" i="2" s="1"/>
  <c r="I321" i="2" l="1"/>
  <c r="K321" i="2" s="1"/>
  <c r="F321" i="2"/>
  <c r="G321" i="2" s="1"/>
  <c r="H321" i="2" l="1"/>
  <c r="D322" i="2" s="1"/>
  <c r="I322" i="2" l="1"/>
  <c r="K322" i="2" s="1"/>
  <c r="F322" i="2"/>
  <c r="G322" i="2" s="1"/>
  <c r="H322" i="2" l="1"/>
  <c r="D323" i="2" s="1"/>
  <c r="I323" i="2" l="1"/>
  <c r="K323" i="2" s="1"/>
  <c r="F323" i="2"/>
  <c r="G323" i="2" s="1"/>
  <c r="H323" i="2" l="1"/>
  <c r="D324" i="2"/>
  <c r="I324" i="2" l="1"/>
  <c r="K324" i="2" s="1"/>
  <c r="F324" i="2"/>
  <c r="G324" i="2" s="1"/>
  <c r="H324" i="2" l="1"/>
  <c r="D325" i="2" s="1"/>
  <c r="I325" i="2" l="1"/>
  <c r="K325" i="2" s="1"/>
  <c r="F325" i="2"/>
  <c r="G325" i="2" s="1"/>
  <c r="H325" i="2" l="1"/>
  <c r="D326" i="2" s="1"/>
  <c r="I326" i="2" l="1"/>
  <c r="K326" i="2" s="1"/>
  <c r="F326" i="2"/>
  <c r="G326" i="2" s="1"/>
  <c r="H326" i="2" l="1"/>
  <c r="D327" i="2"/>
  <c r="I327" i="2" l="1"/>
  <c r="K327" i="2" s="1"/>
  <c r="F327" i="2"/>
  <c r="G327" i="2" s="1"/>
  <c r="H327" i="2" l="1"/>
  <c r="D328" i="2" s="1"/>
  <c r="F328" i="2" l="1"/>
  <c r="G328" i="2" s="1"/>
  <c r="I328" i="2"/>
  <c r="K328" i="2" s="1"/>
  <c r="H328" i="2" l="1"/>
  <c r="D329" i="2"/>
  <c r="I329" i="2" l="1"/>
  <c r="K329" i="2" s="1"/>
  <c r="F329" i="2"/>
  <c r="G329" i="2" s="1"/>
  <c r="H329" i="2" l="1"/>
  <c r="D330" i="2"/>
  <c r="I330" i="2" l="1"/>
  <c r="K330" i="2" s="1"/>
  <c r="F330" i="2"/>
  <c r="G330" i="2" s="1"/>
  <c r="H330" i="2" l="1"/>
  <c r="D331" i="2"/>
  <c r="F331" i="2" l="1"/>
  <c r="G331" i="2" s="1"/>
  <c r="I331" i="2"/>
  <c r="K331" i="2" s="1"/>
  <c r="H331" i="2" l="1"/>
  <c r="D332" i="2" s="1"/>
  <c r="I332" i="2" l="1"/>
  <c r="K332" i="2" s="1"/>
  <c r="F332" i="2"/>
  <c r="G332" i="2" s="1"/>
  <c r="H332" i="2" l="1"/>
  <c r="D333" i="2"/>
  <c r="F333" i="2" l="1"/>
  <c r="G333" i="2" s="1"/>
  <c r="I333" i="2"/>
  <c r="K333" i="2" s="1"/>
  <c r="H333" i="2" l="1"/>
  <c r="D334" i="2"/>
  <c r="F334" i="2" l="1"/>
  <c r="G334" i="2" s="1"/>
  <c r="I334" i="2"/>
  <c r="K334" i="2" s="1"/>
  <c r="H334" i="2" l="1"/>
  <c r="D335" i="2" s="1"/>
  <c r="I335" i="2" l="1"/>
  <c r="K335" i="2" s="1"/>
  <c r="F335" i="2"/>
  <c r="G335" i="2" s="1"/>
  <c r="H335" i="2" l="1"/>
  <c r="D336" i="2" s="1"/>
  <c r="I336" i="2" l="1"/>
  <c r="K336" i="2" s="1"/>
  <c r="F336" i="2"/>
  <c r="G336" i="2" s="1"/>
  <c r="H336" i="2" l="1"/>
  <c r="D337" i="2" s="1"/>
  <c r="I337" i="2" l="1"/>
  <c r="K337" i="2" s="1"/>
  <c r="F337" i="2"/>
  <c r="G337" i="2" s="1"/>
  <c r="H337" i="2" l="1"/>
  <c r="D338" i="2"/>
  <c r="I338" i="2" l="1"/>
  <c r="K338" i="2" s="1"/>
  <c r="F338" i="2"/>
  <c r="G338" i="2" s="1"/>
  <c r="H338" i="2" l="1"/>
  <c r="D339" i="2"/>
  <c r="I339" i="2" l="1"/>
  <c r="K339" i="2" s="1"/>
  <c r="F339" i="2"/>
  <c r="G339" i="2" s="1"/>
  <c r="H339" i="2" l="1"/>
  <c r="D340" i="2" s="1"/>
  <c r="I340" i="2" l="1"/>
  <c r="K340" i="2" s="1"/>
  <c r="F340" i="2"/>
  <c r="G340" i="2" s="1"/>
  <c r="H340" i="2" l="1"/>
  <c r="D341" i="2"/>
  <c r="I341" i="2" l="1"/>
  <c r="K341" i="2" s="1"/>
  <c r="F341" i="2"/>
  <c r="G341" i="2" s="1"/>
  <c r="H341" i="2" l="1"/>
  <c r="D342" i="2" s="1"/>
  <c r="F342" i="2" l="1"/>
  <c r="G342" i="2" s="1"/>
  <c r="I342" i="2"/>
  <c r="K342" i="2" s="1"/>
  <c r="H342" i="2" l="1"/>
  <c r="D343" i="2" s="1"/>
  <c r="I343" i="2" l="1"/>
  <c r="K343" i="2" s="1"/>
  <c r="F343" i="2"/>
  <c r="G343" i="2" s="1"/>
  <c r="H343" i="2" l="1"/>
  <c r="D344" i="2"/>
  <c r="F344" i="2" l="1"/>
  <c r="G344" i="2" s="1"/>
  <c r="I344" i="2"/>
  <c r="K344" i="2" s="1"/>
  <c r="H344" i="2" l="1"/>
  <c r="D345" i="2" s="1"/>
  <c r="I345" i="2" l="1"/>
  <c r="K345" i="2" s="1"/>
  <c r="F345" i="2"/>
  <c r="G345" i="2" s="1"/>
  <c r="H345" i="2" l="1"/>
  <c r="D346" i="2" s="1"/>
  <c r="I346" i="2" l="1"/>
  <c r="K346" i="2" s="1"/>
  <c r="F346" i="2"/>
  <c r="G346" i="2" s="1"/>
  <c r="H346" i="2" l="1"/>
  <c r="D347" i="2" s="1"/>
  <c r="I347" i="2" l="1"/>
  <c r="K347" i="2" s="1"/>
  <c r="F347" i="2"/>
  <c r="G347" i="2" s="1"/>
  <c r="H347" i="2" l="1"/>
  <c r="D348" i="2"/>
  <c r="F348" i="2" l="1"/>
  <c r="G348" i="2" s="1"/>
  <c r="I348" i="2"/>
  <c r="K348" i="2" s="1"/>
  <c r="H348" i="2" l="1"/>
  <c r="D349" i="2" s="1"/>
  <c r="I349" i="2" l="1"/>
  <c r="K349" i="2" s="1"/>
  <c r="F349" i="2"/>
  <c r="G349" i="2" s="1"/>
  <c r="H349" i="2" l="1"/>
  <c r="D350" i="2"/>
  <c r="F350" i="2" l="1"/>
  <c r="G350" i="2" s="1"/>
  <c r="I350" i="2"/>
  <c r="K350" i="2" s="1"/>
  <c r="H350" i="2" l="1"/>
  <c r="D351" i="2" s="1"/>
  <c r="I351" i="2" l="1"/>
  <c r="K351" i="2" s="1"/>
  <c r="F351" i="2"/>
  <c r="G351" i="2" s="1"/>
  <c r="H351" i="2" l="1"/>
  <c r="D352" i="2"/>
  <c r="I352" i="2" l="1"/>
  <c r="K352" i="2" s="1"/>
  <c r="F352" i="2"/>
  <c r="G352" i="2" s="1"/>
  <c r="H352" i="2" l="1"/>
  <c r="D353" i="2" s="1"/>
  <c r="I353" i="2" l="1"/>
  <c r="K353" i="2" s="1"/>
  <c r="F353" i="2"/>
  <c r="G353" i="2" s="1"/>
  <c r="H353" i="2" l="1"/>
  <c r="D354" i="2" s="1"/>
  <c r="F354" i="2" l="1"/>
  <c r="G354" i="2" s="1"/>
  <c r="I354" i="2"/>
  <c r="K354" i="2" s="1"/>
  <c r="H354" i="2" l="1"/>
  <c r="D355" i="2"/>
  <c r="I355" i="2" l="1"/>
  <c r="K355" i="2" s="1"/>
  <c r="F355" i="2"/>
  <c r="G355" i="2" s="1"/>
  <c r="H355" i="2" l="1"/>
  <c r="D356" i="2"/>
  <c r="I356" i="2" l="1"/>
  <c r="K356" i="2" s="1"/>
  <c r="F356" i="2"/>
  <c r="G356" i="2" s="1"/>
  <c r="H356" i="2" l="1"/>
  <c r="D357" i="2" s="1"/>
  <c r="I357" i="2" l="1"/>
  <c r="K357" i="2" s="1"/>
  <c r="F357" i="2"/>
  <c r="G357" i="2" s="1"/>
  <c r="H357" i="2" l="1"/>
  <c r="D358" i="2" s="1"/>
  <c r="I358" i="2" l="1"/>
  <c r="K358" i="2" s="1"/>
  <c r="F358" i="2"/>
  <c r="G358" i="2" s="1"/>
  <c r="H358" i="2" l="1"/>
  <c r="D359" i="2" s="1"/>
  <c r="I359" i="2" l="1"/>
  <c r="K359" i="2" s="1"/>
  <c r="F359" i="2"/>
  <c r="G359" i="2" s="1"/>
  <c r="H359" i="2" l="1"/>
  <c r="D360" i="2"/>
  <c r="I360" i="2" l="1"/>
  <c r="K360" i="2" s="1"/>
  <c r="F360" i="2"/>
  <c r="G360" i="2" s="1"/>
  <c r="H360" i="2" l="1"/>
  <c r="D361" i="2" s="1"/>
  <c r="I361" i="2" l="1"/>
  <c r="K361" i="2" s="1"/>
  <c r="F361" i="2"/>
  <c r="G361" i="2" s="1"/>
  <c r="H361" i="2" l="1"/>
  <c r="D362" i="2"/>
  <c r="F362" i="2" l="1"/>
  <c r="G362" i="2" s="1"/>
  <c r="I362" i="2"/>
  <c r="K362" i="2" s="1"/>
  <c r="H362" i="2" l="1"/>
  <c r="D363" i="2"/>
  <c r="I363" i="2" l="1"/>
  <c r="K363" i="2" s="1"/>
  <c r="F363" i="2"/>
  <c r="G363" i="2" s="1"/>
  <c r="H363" i="2" l="1"/>
  <c r="D364" i="2" s="1"/>
  <c r="F364" i="2" l="1"/>
  <c r="G364" i="2" s="1"/>
  <c r="I364" i="2"/>
  <c r="K364" i="2" s="1"/>
  <c r="H364" i="2" l="1"/>
  <c r="D365" i="2"/>
  <c r="I365" i="2" l="1"/>
  <c r="K365" i="2" s="1"/>
  <c r="F365" i="2"/>
  <c r="G365" i="2" s="1"/>
  <c r="H365" i="2" l="1"/>
  <c r="D366" i="2"/>
  <c r="F366" i="2" l="1"/>
  <c r="G366" i="2" s="1"/>
  <c r="I366" i="2"/>
  <c r="K366" i="2" s="1"/>
  <c r="H366" i="2" l="1"/>
  <c r="D367" i="2"/>
  <c r="I367" i="2" l="1"/>
  <c r="K367" i="2" s="1"/>
  <c r="F367" i="2"/>
  <c r="G367" i="2" s="1"/>
  <c r="H367" i="2" l="1"/>
  <c r="D368" i="2" s="1"/>
  <c r="I368" i="2" l="1"/>
  <c r="K368" i="2" s="1"/>
  <c r="F368" i="2"/>
  <c r="G368" i="2" s="1"/>
  <c r="H368" i="2" l="1"/>
  <c r="D369" i="2"/>
  <c r="I369" i="2" l="1"/>
  <c r="K369" i="2" s="1"/>
  <c r="F369" i="2"/>
  <c r="G369" i="2" s="1"/>
  <c r="H369" i="2" l="1"/>
  <c r="D370" i="2"/>
  <c r="I370" i="2" l="1"/>
  <c r="K370" i="2" s="1"/>
  <c r="F370" i="2"/>
  <c r="G370" i="2" s="1"/>
  <c r="H370" i="2" l="1"/>
  <c r="D371" i="2" s="1"/>
  <c r="I371" i="2" l="1"/>
  <c r="K371" i="2" s="1"/>
  <c r="F371" i="2"/>
  <c r="G371" i="2" s="1"/>
  <c r="H371" i="2" l="1"/>
  <c r="D372" i="2"/>
  <c r="I372" i="2" l="1"/>
  <c r="K372" i="2" s="1"/>
  <c r="F372" i="2"/>
  <c r="G372" i="2" s="1"/>
  <c r="H372" i="2" l="1"/>
  <c r="D373" i="2" s="1"/>
  <c r="I373" i="2" l="1"/>
  <c r="K373" i="2" s="1"/>
  <c r="F373" i="2"/>
  <c r="G373" i="2" s="1"/>
  <c r="H373" i="2" l="1"/>
  <c r="D374" i="2"/>
  <c r="I374" i="2" l="1"/>
  <c r="K374" i="2" s="1"/>
  <c r="F374" i="2"/>
  <c r="G374" i="2" s="1"/>
  <c r="H374" i="2" l="1"/>
  <c r="D375" i="2"/>
  <c r="I375" i="2" l="1"/>
  <c r="K375" i="2" s="1"/>
  <c r="F375" i="2"/>
  <c r="G375" i="2" s="1"/>
  <c r="H375" i="2" l="1"/>
  <c r="D376" i="2" s="1"/>
  <c r="I376" i="2" l="1"/>
  <c r="I13" i="2" s="1"/>
  <c r="F376" i="2"/>
  <c r="G376" i="2" s="1"/>
  <c r="I12" i="2" l="1"/>
  <c r="K376" i="2"/>
  <c r="H376" i="2" l="1"/>
  <c r="I10" i="2" s="1"/>
  <c r="I11" i="2" s="1"/>
</calcChain>
</file>

<file path=xl/sharedStrings.xml><?xml version="1.0" encoding="utf-8"?>
<sst xmlns="http://schemas.openxmlformats.org/spreadsheetml/2006/main" count="392" uniqueCount="33">
  <si>
    <t>This Excel spreadsheet makes it easy to view the amortization of a home loan with optional extra monthly payments. Want more features? View our website to see interactive graphs for your loan.</t>
  </si>
  <si>
    <t>Our website allows you to share calculations, see local mortgage rates &amp; generate printable loan amortization tables.</t>
  </si>
  <si>
    <t>https://www.mortgagecalculator.org/</t>
  </si>
  <si>
    <t>You can also include other expenses including property taxes, homeowners' insurance &amp; HOA fees on our website.</t>
  </si>
  <si>
    <t>MORTGAGE AMORTIZATION SCHEDULE</t>
  </si>
  <si>
    <t>ENTER VALUES</t>
  </si>
  <si>
    <t>LOAN SUMMARY</t>
  </si>
  <si>
    <t>Loan amount</t>
  </si>
  <si>
    <t>Scheduled payment</t>
  </si>
  <si>
    <t>Interest rate</t>
  </si>
  <si>
    <t>* SEE CURRENT *</t>
  </si>
  <si>
    <t>Scheduled number of payments</t>
  </si>
  <si>
    <t>Loan term in years</t>
  </si>
  <si>
    <t>Actual number of payments</t>
  </si>
  <si>
    <t>Payments made per year</t>
  </si>
  <si>
    <t>Years saved off original loan term</t>
  </si>
  <si>
    <t>Loan repayment start date</t>
  </si>
  <si>
    <t>Total early payments</t>
  </si>
  <si>
    <t>Total interest</t>
  </si>
  <si>
    <t>Optional extra payments</t>
  </si>
  <si>
    <t>LENDER NAME</t>
  </si>
  <si>
    <t>Your Bank</t>
  </si>
  <si>
    <t>PMT NO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</si>
  <si>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</si>
  <si>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</si>
  <si>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</si>
  <si>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</si>
  <si>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</si>
  <si>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</si>
  <si>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</si>
  <si>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</si>
  <si>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</si>
  <si>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=IF([@[[BEGINNING BALANCE]]]&lt;&gt;"",IF([@[SCHEDULED PAYMENT]]+[@[EXTRA PAYMENT]]&lt;=[@[BEGINNING BALANCE]],[@[BEGINNING BALANCE]][@PRINCIPAL],0),"")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</si>
</sst>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1">
    <font>
      <sz val="11"/>
      <name val="Arial"/>
      <family val="2"/>
      <scheme val="minor"/>
    </font>
    <font>
      <b/>
      <sz val="16"/>
      <color theme="1" tint="0.24994659260841701"/>
      <name val="Microsoft Sans Serif"/>
      <family val="2"/>
      <scheme val="major"/>
    </font>
    <font>
      <b/>
      <sz val="11"/>
      <color theme="3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11"/>
      <color theme="1" tint="0.24994659260841701"/>
      <name val="Microsoft Sans Serif"/>
      <family val="2"/>
      <scheme val="major"/>
    </font>
    <font>
      <i/>
      <sz val="11"/>
      <color theme="1" tint="0.34998626667073579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u/>
      <sz val="11"/>
      <color rgb="FF000064"/>
      <name val="Arial"/>
      <family val="2"/>
      <scheme val="minor"/>
    </font>
    <font>
      <u/>
      <sz val="12"/>
      <color rgb="FF000064"/>
      <name val="Arial"/>
      <family val="2"/>
      <scheme val="minor"/>
    </font>
    <font>
      <b/>
      <u/>
      <sz val="12"/>
      <color rgb="FF000064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94C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B0F0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thick">
        <color rgb="FF155776"/>
      </bottom>
      <diagonal/>
    </border>
    <border>
      <left/>
      <right/>
      <top style="thin">
        <color rgb="FF00B0F0"/>
      </top>
      <bottom style="thin">
        <color rgb="FF00B0F0"/>
      </bottom>
      <diagonal/>
    </border>
  </borders>
  <cellStyleXfs count="15">
    <xf numFmtId="0" fontId="0" fillId="0" borderId="0"/>
    <xf numFmtId="0" fontId="1" fillId="0" borderId="4" applyNumberFormat="0" applyFill="0" applyProtection="0">
      <alignment vertical="center"/>
    </xf>
    <xf numFmtId="0" fontId="4" fillId="0" borderId="2" applyNumberFormat="0" applyFill="0" applyProtection="0">
      <alignment vertical="center"/>
    </xf>
    <xf numFmtId="0" fontId="2" fillId="0" borderId="5" applyNumberFormat="0" applyFill="0" applyProtection="0">
      <alignment vertical="center"/>
    </xf>
    <xf numFmtId="0" fontId="3" fillId="2" borderId="1" applyNumberFormat="0" applyProtection="0">
      <alignment horizontal="right"/>
    </xf>
    <xf numFmtId="0" fontId="5" fillId="0" borderId="1" applyNumberFormat="0" applyProtection="0">
      <alignment vertical="center"/>
    </xf>
    <xf numFmtId="10" fontId="6" fillId="0" borderId="0" applyFont="0" applyFill="0" applyBorder="0" applyAlignment="0" applyProtection="0"/>
    <xf numFmtId="164" fontId="3" fillId="2" borderId="0" applyFont="0" applyFill="0" applyBorder="0" applyAlignment="0" applyProtection="0"/>
    <xf numFmtId="0" fontId="3" fillId="6" borderId="0" applyNumberFormat="0" applyFont="0" applyAlignment="0">
      <alignment horizontal="center" vertical="center" wrapText="1"/>
    </xf>
    <xf numFmtId="0" fontId="7" fillId="5" borderId="0" applyNumberFormat="0" applyBorder="0" applyProtection="0">
      <alignment vertical="center" wrapText="1"/>
    </xf>
    <xf numFmtId="1" fontId="3" fillId="3" borderId="0" applyFont="0" applyFill="0" applyBorder="0" applyAlignment="0"/>
    <xf numFmtId="14" fontId="3" fillId="0" borderId="0" applyFont="0" applyFill="0" applyBorder="0" applyAlignment="0"/>
    <xf numFmtId="164" fontId="3" fillId="2" borderId="0" applyFont="0" applyFill="0" applyBorder="0" applyProtection="0">
      <alignment horizontal="right" indent="2"/>
    </xf>
    <xf numFmtId="0" fontId="7" fillId="4" borderId="0" applyBorder="0" applyProtection="0">
      <alignment horizontal="right" vertical="center" wrapText="1" indent="2"/>
    </xf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4" xfId="1">
      <alignment vertical="center"/>
    </xf>
    <xf numFmtId="0" fontId="4" fillId="0" borderId="2" xfId="2">
      <alignment vertical="center"/>
    </xf>
    <xf numFmtId="0" fontId="2" fillId="0" borderId="5" xfId="3">
      <alignment vertical="center"/>
    </xf>
    <xf numFmtId="164" fontId="3" fillId="2" borderId="0" xfId="7"/>
    <xf numFmtId="164" fontId="3" fillId="2" borderId="1" xfId="7" applyFont="1" applyFill="1" applyBorder="1"/>
    <xf numFmtId="164" fontId="3" fillId="6" borderId="0" xfId="8" applyNumberFormat="1" applyAlignment="1"/>
    <xf numFmtId="164" fontId="3" fillId="6" borderId="1" xfId="8" applyNumberFormat="1" applyBorder="1" applyAlignment="1"/>
    <xf numFmtId="1" fontId="3" fillId="2" borderId="0" xfId="10" applyFill="1"/>
    <xf numFmtId="1" fontId="3" fillId="2" borderId="1" xfId="10" applyFill="1" applyBorder="1"/>
    <xf numFmtId="1" fontId="0" fillId="0" borderId="0" xfId="10" applyFont="1" applyFill="1" applyBorder="1" applyAlignment="1">
      <alignment horizontal="left"/>
    </xf>
    <xf numFmtId="14" fontId="3" fillId="2" borderId="1" xfId="11" applyFill="1" applyBorder="1"/>
    <xf numFmtId="14" fontId="0" fillId="0" borderId="0" xfId="11" applyFont="1" applyFill="1" applyBorder="1" applyAlignment="1">
      <alignment horizontal="left"/>
    </xf>
    <xf numFmtId="0" fontId="7" fillId="5" borderId="0" xfId="9">
      <alignment vertical="center" wrapText="1"/>
    </xf>
    <xf numFmtId="164" fontId="0" fillId="0" borderId="0" xfId="12" applyFont="1" applyFill="1" applyBorder="1">
      <alignment horizontal="right" indent="2"/>
    </xf>
    <xf numFmtId="10" fontId="3" fillId="2" borderId="1" xfId="6" applyFont="1" applyFill="1" applyBorder="1" applyAlignment="1">
      <alignment horizontal="right"/>
    </xf>
    <xf numFmtId="0" fontId="5" fillId="0" borderId="1" xfId="5">
      <alignment vertical="center"/>
    </xf>
    <xf numFmtId="1" fontId="3" fillId="6" borderId="1" xfId="10" applyFill="1" applyBorder="1" applyAlignment="1"/>
    <xf numFmtId="1" fontId="0" fillId="6" borderId="0" xfId="10" applyFont="1" applyFill="1" applyBorder="1" applyAlignment="1">
      <alignment horizontal="left"/>
    </xf>
    <xf numFmtId="14" fontId="0" fillId="6" borderId="0" xfId="11" applyFont="1" applyFill="1" applyBorder="1" applyAlignment="1">
      <alignment horizontal="left"/>
    </xf>
    <xf numFmtId="164" fontId="0" fillId="6" borderId="0" xfId="12" applyFont="1" applyFill="1" applyBorder="1">
      <alignment horizontal="right" indent="2"/>
    </xf>
    <xf numFmtId="0" fontId="8" fillId="0" borderId="1" xfId="14" applyFont="1" applyBorder="1" applyAlignment="1">
      <alignment vertical="center"/>
    </xf>
    <xf numFmtId="0" fontId="10" fillId="0" borderId="0" xfId="14" applyFont="1" applyFill="1"/>
    <xf numFmtId="4" fontId="3" fillId="6" borderId="1" xfId="8" applyNumberFormat="1" applyBorder="1" applyAlignment="1"/>
    <xf numFmtId="0" fontId="5" fillId="0" borderId="1" xfId="5" applyAlignment="1">
      <alignment vertical="center"/>
    </xf>
    <xf numFmtId="0" fontId="5" fillId="0" borderId="3" xfId="5" applyBorder="1" applyAlignment="1">
      <alignment vertical="center"/>
    </xf>
    <xf numFmtId="0" fontId="3" fillId="2" borderId="1" xfId="4" applyAlignment="1">
      <alignment horizontal="right"/>
    </xf>
  </cellXfs>
  <cellStyles count="15">
    <cellStyle name="Amount" xfId="7" xr:uid="{00000000-0005-0000-0000-000000000000}"/>
    <cellStyle name="Date" xfId="11" xr:uid="{00000000-0005-0000-0000-000001000000}"/>
    <cellStyle name="Explanatory Text" xfId="5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9" builtinId="19" customBuiltin="1"/>
    <cellStyle name="Heading 4 Right aligned" xfId="13" xr:uid="{00000000-0005-0000-0000-000007000000}"/>
    <cellStyle name="Hyperlink" xfId="14" builtinId="8" customBuiltin="1"/>
    <cellStyle name="Input" xfId="4" builtinId="20" customBuiltin="1"/>
    <cellStyle name="Loan Summary" xfId="8" xr:uid="{00000000-0005-0000-0000-000009000000}"/>
    <cellStyle name="Normal" xfId="0" builtinId="0" customBuiltin="1"/>
    <cellStyle name="Number" xfId="10" xr:uid="{00000000-0005-0000-0000-00000B000000}"/>
    <cellStyle name="Percent" xfId="6" builtinId="5" customBuiltin="1"/>
    <cellStyle name="Table Amount" xfId="12" xr:uid="{00000000-0005-0000-0000-00000D000000}"/>
  </cellStyles>
  <dxfs count="9">
    <dxf>
      <numFmt numFmtId="164" formatCode="&quot;$&quot;#,##0.00"/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 tint="0.2499465926084170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Loan Amortization Schedule" pivot="0" count="7" xr9:uid="{00000000-0011-0000-FFFF-FFFF00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55776"/>
      <color rgb="FF003399"/>
      <color rgb="FF20394C"/>
      <color rgb="FF000064"/>
      <color rgb="FF155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mortgagecalculator.or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285750</xdr:colOff>
      <xdr:row>1</xdr:row>
      <xdr:rowOff>542925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BBA84E-65C2-46A8-8E13-7257BDA6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0"/>
          <a:ext cx="5610225" cy="542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ymentSchedule" displayName="PaymentSchedule" ref="B16:K376" totalsRowShown="0" headerRowCellStyle="Heading 4">
  <tableColumns count="10">
    <tableColumn id="1" xr3:uid="{00000000-0010-0000-0000-000001000000}" name="PMT NO" dataCellStyle="Number">
      <calculatedColumnFormula>IF(LoanIsGood,IF(ROW()-ROW(PaymentSchedule[[#Headers],[PMT NO]])&gt;ScheduledNumberOfPayments,"",ROW()-ROW(PaymentSchedule[[#Headers],[PMT NO]])),"")</calculatedColumnFormula>
    </tableColumn>
    <tableColumn id="2" xr3:uid="{00000000-0010-0000-0000-000002000000}" name="PAYMENT DATE" dataCellStyle="Date">
      <calculatedColumnFormula>IF(PaymentSchedule[[#This Row],[PMT NO]]&lt;&gt;"",EOMONTH(LoanStartDate,ROW(PaymentSchedule[[#This Row],[PMT NO]])-ROW(PaymentSchedule[[#Headers],[PMT NO]])-2)+DAY(LoanStartDate),"")</calculatedColumnFormula>
    </tableColumn>
    <tableColumn id="3" xr3:uid="{00000000-0010-0000-0000-000003000000}" name="BEGINNING BALANCE" dataCellStyle="Table Amount">
      <calculatedColumnFormula>IF(PaymentSchedule[[#This Row],[PMT NO]]&lt;&gt;"",IF(ROW()-ROW(PaymentSchedule[[#Headers],[BEGINNING BALANCE]])=1,LoanAmount,INDEX(PaymentSchedule[ENDING BALANCE],ROW()-ROW(PaymentSchedule[[#Headers],[BEGINNING BALANCE]])-1)),"")</calculatedColumnFormula>
    </tableColumn>
    <tableColumn id="4" xr3:uid="{00000000-0010-0000-0000-000004000000}" name="SCHEDULED PAYMENT" dataCellStyle="Table Amount">
      <calculatedColumnFormula>IF(PaymentSchedule[[#This Row],[PMT NO]]&lt;&gt;"",ScheduledPayment,"")</calculatedColumnFormula>
    </tableColumn>
    <tableColumn id="5" xr3:uid="{00000000-0010-0000-0000-000005000000}" name="EXTRA PAYMENT" dataCellStyle="Table Amount">
      <calculatedColumnFormula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calculatedColumnFormula>
    </tableColumn>
    <tableColumn id="6" xr3:uid="{00000000-0010-0000-0000-000006000000}" name="TOTAL PAYMENT" dataDxfId="0" dataCellStyle="Table Amount">
      <calculatedColumnFormula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calculatedColumnFormula>
    </tableColumn>
    <tableColumn id="7" xr3:uid="{00000000-0010-0000-0000-000007000000}" name="PRINCIPAL" dataCellStyle="Table Amount">
      <calculatedColumnFormula>IF(PaymentSchedule[[#This Row],[PMT NO]]&lt;&gt;"",PaymentSchedule[[#This Row],[TOTAL PAYMENT]]-PaymentSchedule[[#This Row],[INTEREST]],"")</calculatedColumnFormula>
    </tableColumn>
    <tableColumn id="8" xr3:uid="{00000000-0010-0000-0000-000008000000}" name="INTEREST" dataCellStyle="Table Amount">
      <calculatedColumnFormula>IF(PaymentSchedule[[#This Row],[PMT NO]]&lt;&gt;"",PaymentSchedule[[#This Row],[BEGINNING BALANCE]]*(InterestRate/PaymentsPerYear),"")</calculatedColumnFormula>
    </tableColumn>
    <tableColumn id="9" xr3:uid="{00000000-0010-0000-0000-000009000000}" name="ENDING BALANCE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calculatedColumnFormula>
    </tableColumn>
    <tableColumn id="10" xr3:uid="{00000000-0010-0000-0000-00000A000000}" name="CUMULATIVE INTEREST" dataCellStyle="Table Amount">
      <calculatedColumnFormula>IF(PaymentSchedule[[#This Row],[PMT NO]]&lt;&gt;"",SUM(INDEX(PaymentSchedule[INTEREST],1,1):PaymentSchedule[[#This Row],[INTEREST]]),"")</calculatedColumnFormula>
    </tableColumn>
  </tableColumns>
  <tableStyleInfo name="TableStyleMedium4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scheduled payment, extra payment, principal amount, interest and cumulative interest amounts"/>
    </ext>
  </extLst>
</table>
</file>

<file path=xl/theme/theme1.xml><?xml version="1.0" encoding="utf-8"?>
<a:theme xmlns:a="http://schemas.openxmlformats.org/drawingml/2006/main" name="Office Theme">
  <a:themeElements>
    <a:clrScheme name="Loan Amortization Schedule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Loan Amortization Schedule">
      <a:majorFont>
        <a:latin typeface="Microsoft Sans Serif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rtgagecalculator.org/" TargetMode="External"/><Relationship Id="rId1" Type="http://schemas.openxmlformats.org/officeDocument/2006/relationships/hyperlink" Target="https://www.mortgagecalculator.org/mortgage-rates/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K376"/>
  <sheetViews>
    <sheetView showGridLines="0" tabSelected="1" zoomScaleNormal="100" workbookViewId="0">
      <pane ySplit="16" topLeftCell="D22" activePane="bottomLeft" state="frozen"/>
      <selection pane="bottomLeft" activeCell="J17" sqref="J17"/>
    </sheetView>
  </sheetViews>
  <sheetFormatPr defaultRowHeight="14.25"/>
  <cols>
    <col min="1" max="1" width="2.625" customWidth="1"/>
    <col min="2" max="2" width="6.875" customWidth="1"/>
    <col min="3" max="3" width="15" customWidth="1"/>
    <col min="4" max="4" width="16.75" customWidth="1"/>
    <col min="5" max="10" width="15.625" customWidth="1"/>
    <col min="11" max="11" width="17.625" customWidth="1"/>
  </cols>
  <sheetData>
    <row r="1" spans="2:11" ht="8.25" customHeight="1"/>
    <row r="2" spans="2:11" ht="46.5" customHeight="1"/>
    <row r="3" spans="2:11">
      <c r="B3" t="s">
        <v>0</v>
      </c>
    </row>
    <row r="4" spans="2:11" ht="15.75">
      <c r="B4" t="s">
        <v>1</v>
      </c>
      <c r="I4" s="22" t="s">
        <v>2</v>
      </c>
    </row>
    <row r="5" spans="2:11" ht="15.75">
      <c r="B5" t="s">
        <v>3</v>
      </c>
      <c r="I5" s="22"/>
    </row>
    <row r="6" spans="2:11" ht="30" customHeight="1" thickBot="1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</row>
    <row r="7" spans="2:11" ht="20.100000000000001" customHeight="1" thickTop="1" thickBot="1">
      <c r="C7" s="2" t="s">
        <v>5</v>
      </c>
      <c r="D7" s="2"/>
      <c r="E7" s="2"/>
      <c r="G7" s="2" t="s">
        <v>6</v>
      </c>
      <c r="H7" s="2"/>
      <c r="I7" s="2"/>
    </row>
    <row r="8" spans="2:11" ht="14.25" customHeight="1">
      <c r="C8" s="25" t="s">
        <v>7</v>
      </c>
      <c r="D8" s="25"/>
      <c r="E8" s="4">
        <v>200000</v>
      </c>
      <c r="G8" s="25" t="s">
        <v>8</v>
      </c>
      <c r="H8" s="25"/>
      <c r="I8" s="6">
        <f ca="1">IF(LoanIsGood,-PMT(InterestRate/PaymentsPerYear,ScheduledNumberOfPayments,LoanAmount),"")</f>
        <v>1073.6432460242781</v>
      </c>
    </row>
    <row r="9" spans="2:11" ht="15">
      <c r="C9" s="16" t="s">
        <v>9</v>
      </c>
      <c r="D9" s="21" t="s">
        <v>10</v>
      </c>
      <c r="E9" s="15">
        <v>0.05</v>
      </c>
      <c r="G9" s="24" t="s">
        <v>11</v>
      </c>
      <c r="H9" s="24"/>
      <c r="I9" s="17">
        <f ca="1">IF(LoanIsGood,LoanPeriod*PaymentsPerYear,"")</f>
        <v>360</v>
      </c>
    </row>
    <row r="10" spans="2:11">
      <c r="C10" s="24" t="s">
        <v>12</v>
      </c>
      <c r="D10" s="24"/>
      <c r="E10" s="8">
        <v>30</v>
      </c>
      <c r="G10" s="24" t="s">
        <v>13</v>
      </c>
      <c r="H10" s="24"/>
      <c r="I10" s="17" t="str">
        <f ca="1">ActualNumberOfPayments</f>
        <v/>
      </c>
    </row>
    <row r="11" spans="2:11">
      <c r="C11" s="24" t="s">
        <v>14</v>
      </c>
      <c r="D11" s="24"/>
      <c r="E11" s="9">
        <v>12</v>
      </c>
      <c r="G11" s="24" t="s">
        <v>15</v>
      </c>
      <c r="H11" s="24"/>
      <c r="I11" s="23" t="e">
        <f ca="1">(I9-I10)/E11</f>
        <v>#VALUE!</v>
      </c>
    </row>
    <row r="12" spans="2:11">
      <c r="C12" s="24" t="s">
        <v>16</v>
      </c>
      <c r="D12" s="24"/>
      <c r="E12" s="11">
        <f ca="1">TODAY()</f>
        <v>45963</v>
      </c>
      <c r="G12" s="24" t="s">
        <v>17</v>
      </c>
      <c r="H12" s="24"/>
      <c r="I12" s="7">
        <f ca="1">TotalEarlyPayments</f>
        <v>36000</v>
      </c>
    </row>
    <row r="13" spans="2:11">
      <c r="G13" s="24" t="s">
        <v>18</v>
      </c>
      <c r="H13" s="24"/>
      <c r="I13" s="7" t="e">
        <f ca="1">TotalInterest</f>
        <v>#VALUE!</v>
      </c>
    </row>
    <row r="14" spans="2:11" ht="15">
      <c r="C14" s="24" t="s">
        <v>19</v>
      </c>
      <c r="D14" s="24"/>
      <c r="E14" s="5">
        <v>100</v>
      </c>
      <c r="G14" s="3" t="s">
        <v>20</v>
      </c>
      <c r="H14" s="26" t="s">
        <v>21</v>
      </c>
      <c r="I14" s="26"/>
    </row>
    <row r="16" spans="2:11" ht="35.1" customHeight="1">
      <c r="B16" s="13" t="s">
        <v>22</v>
      </c>
      <c r="C16" s="13" t="s">
        <v>23</v>
      </c>
      <c r="D16" s="13" t="s">
        <v>24</v>
      </c>
      <c r="E16" s="13" t="s">
        <v>25</v>
      </c>
      <c r="F16" s="13" t="s">
        <v>26</v>
      </c>
      <c r="G16" s="13" t="s">
        <v>27</v>
      </c>
      <c r="H16" s="13" t="s">
        <v>28</v>
      </c>
      <c r="I16" s="13" t="s">
        <v>29</v>
      </c>
      <c r="J16" s="13" t="s">
        <v>30</v>
      </c>
      <c r="K16" s="13" t="s">
        <v>31</v>
      </c>
    </row>
    <row r="17" spans="2:11">
      <c r="B17" s="18">
        <f ca="1">IF(LoanIsGood,IF(ROW()-ROW(PaymentSchedule[[#Headers],[PMT NO]])&gt;ScheduledNumberOfPayments,"",ROW()-ROW(PaymentSchedule[[#Headers],[PMT NO]])),"")</f>
        <v>1</v>
      </c>
      <c r="C17" s="12">
        <f ca="1">IF(PaymentSchedule[[#This Row],[PMT NO]]&lt;&gt;"",EOMONTH(LoanStartDate,ROW(PaymentSchedule[[#This Row],[PMT NO]])-ROW(PaymentSchedule[[#Headers],[PMT NO]])-2)+DAY(LoanStartDate),"")</f>
        <v>45963</v>
      </c>
      <c r="D17" s="14">
        <f ca="1">IF(PaymentSchedule[[#This Row],[PMT NO]]&lt;&gt;"",IF(ROW()-ROW(PaymentSchedule[[#Headers],[BEGINNING BALANCE]])=1,LoanAmount,INDEX(PaymentSchedule[ENDING BALANCE],ROW()-ROW(PaymentSchedule[[#Headers],[BEGINNING BALANCE]])-1)),"")</f>
        <v>200000</v>
      </c>
      <c r="E17" s="14">
        <f ca="1">IF(PaymentSchedule[[#This Row],[PMT NO]]&lt;&gt;"",ScheduledPayment,"")</f>
        <v>1073.6432460242781</v>
      </c>
      <c r="F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" s="14">
        <f ca="1">IF(PaymentSchedule[[#This Row],[PMT NO]]&lt;&gt;"",PaymentSchedule[[#This Row],[TOTAL PAYMENT]]-PaymentSchedule[[#This Row],[INTEREST]],"")</f>
        <v>340.30991269094477</v>
      </c>
      <c r="I17" s="14">
        <f ca="1">IF(PaymentSchedule[[#This Row],[PMT NO]]&lt;&gt;"",PaymentSchedule[[#This Row],[BEGINNING BALANCE]]*(InterestRate/PaymentsPerYear),"")</f>
        <v>833.33333333333337</v>
      </c>
      <c r="J17" s="14" t="s">
        <v>32</v>
      </c>
      <c r="K17" s="14">
        <f ca="1">IF(PaymentSchedule[[#This Row],[PMT NO]]&lt;&gt;"",SUM(INDEX(PaymentSchedule[INTEREST],1,1):PaymentSchedule[[#This Row],[INTEREST]]),"")</f>
        <v>833.33333333333337</v>
      </c>
    </row>
    <row r="18" spans="2:11">
      <c r="B18" s="10">
        <f ca="1">IF(LoanIsGood,IF(ROW()-ROW(PaymentSchedule[[#Headers],[PMT NO]])&gt;ScheduledNumberOfPayments,"",ROW()-ROW(PaymentSchedule[[#Headers],[PMT NO]])),"")</f>
        <v>2</v>
      </c>
      <c r="C18" s="12">
        <f ca="1">IF(PaymentSchedule[[#This Row],[PMT NO]]&lt;&gt;"",EOMONTH(LoanStartDate,ROW(PaymentSchedule[[#This Row],[PMT NO]])-ROW(PaymentSchedule[[#Headers],[PMT NO]])-2)+DAY(LoanStartDate),"")</f>
        <v>45993</v>
      </c>
      <c r="D1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" s="14">
        <f ca="1">IF(PaymentSchedule[[#This Row],[PMT NO]]&lt;&gt;"",ScheduledPayment,"")</f>
        <v>1073.6432460242781</v>
      </c>
      <c r="F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" s="14" t="e">
        <f ca="1">IF(PaymentSchedule[[#This Row],[PMT NO]]&lt;&gt;"",PaymentSchedule[[#This Row],[TOTAL PAYMENT]]-PaymentSchedule[[#This Row],[INTEREST]],"")</f>
        <v>#VALUE!</v>
      </c>
      <c r="I18" s="14" t="e">
        <f ca="1">IF(PaymentSchedule[[#This Row],[PMT NO]]&lt;&gt;"",PaymentSchedule[[#This Row],[BEGINNING BALANCE]]*(InterestRate/PaymentsPerYear),"")</f>
        <v>#VALUE!</v>
      </c>
      <c r="J18" s="14" t="s">
        <v>32</v>
      </c>
      <c r="K18" s="14" t="e">
        <f ca="1">IF(PaymentSchedule[[#This Row],[PMT NO]]&lt;&gt;"",SUM(INDEX(PaymentSchedule[INTEREST],1,1):PaymentSchedule[[#This Row],[INTEREST]]),"")</f>
        <v>#VALUE!</v>
      </c>
    </row>
    <row r="19" spans="2:11">
      <c r="B19" s="10">
        <f ca="1">IF(LoanIsGood,IF(ROW()-ROW(PaymentSchedule[[#Headers],[PMT NO]])&gt;ScheduledNumberOfPayments,"",ROW()-ROW(PaymentSchedule[[#Headers],[PMT NO]])),"")</f>
        <v>3</v>
      </c>
      <c r="C19" s="12">
        <f ca="1">IF(PaymentSchedule[[#This Row],[PMT NO]]&lt;&gt;"",EOMONTH(LoanStartDate,ROW(PaymentSchedule[[#This Row],[PMT NO]])-ROW(PaymentSchedule[[#Headers],[PMT NO]])-2)+DAY(LoanStartDate),"")</f>
        <v>46024</v>
      </c>
      <c r="D1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" s="14">
        <f ca="1">IF(PaymentSchedule[[#This Row],[PMT NO]]&lt;&gt;"",ScheduledPayment,"")</f>
        <v>1073.6432460242781</v>
      </c>
      <c r="F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" s="14" t="e">
        <f ca="1">IF(PaymentSchedule[[#This Row],[PMT NO]]&lt;&gt;"",PaymentSchedule[[#This Row],[TOTAL PAYMENT]]-PaymentSchedule[[#This Row],[INTEREST]],"")</f>
        <v>#VALUE!</v>
      </c>
      <c r="I19" s="14" t="e">
        <f ca="1">IF(PaymentSchedule[[#This Row],[PMT NO]]&lt;&gt;"",PaymentSchedule[[#This Row],[BEGINNING BALANCE]]*(InterestRate/PaymentsPerYear),"")</f>
        <v>#VALUE!</v>
      </c>
      <c r="J19" s="14" t="s">
        <v>32</v>
      </c>
      <c r="K19" s="14" t="e">
        <f ca="1">IF(PaymentSchedule[[#This Row],[PMT NO]]&lt;&gt;"",SUM(INDEX(PaymentSchedule[INTEREST],1,1):PaymentSchedule[[#This Row],[INTEREST]]),"")</f>
        <v>#VALUE!</v>
      </c>
    </row>
    <row r="20" spans="2:11">
      <c r="B20" s="10">
        <f ca="1">IF(LoanIsGood,IF(ROW()-ROW(PaymentSchedule[[#Headers],[PMT NO]])&gt;ScheduledNumberOfPayments,"",ROW()-ROW(PaymentSchedule[[#Headers],[PMT NO]])),"")</f>
        <v>4</v>
      </c>
      <c r="C20" s="12">
        <f ca="1">IF(PaymentSchedule[[#This Row],[PMT NO]]&lt;&gt;"",EOMONTH(LoanStartDate,ROW(PaymentSchedule[[#This Row],[PMT NO]])-ROW(PaymentSchedule[[#Headers],[PMT NO]])-2)+DAY(LoanStartDate),"")</f>
        <v>46055</v>
      </c>
      <c r="D2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" s="14">
        <f ca="1">IF(PaymentSchedule[[#This Row],[PMT NO]]&lt;&gt;"",ScheduledPayment,"")</f>
        <v>1073.6432460242781</v>
      </c>
      <c r="F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" s="14" t="e">
        <f ca="1">IF(PaymentSchedule[[#This Row],[PMT NO]]&lt;&gt;"",PaymentSchedule[[#This Row],[TOTAL PAYMENT]]-PaymentSchedule[[#This Row],[INTEREST]],"")</f>
        <v>#VALUE!</v>
      </c>
      <c r="I20" s="14" t="e">
        <f ca="1">IF(PaymentSchedule[[#This Row],[PMT NO]]&lt;&gt;"",PaymentSchedule[[#This Row],[BEGINNING BALANCE]]*(InterestRate/PaymentsPerYear),"")</f>
        <v>#VALUE!</v>
      </c>
      <c r="J20" s="14" t="s">
        <v>32</v>
      </c>
      <c r="K20" s="14" t="e">
        <f ca="1">IF(PaymentSchedule[[#This Row],[PMT NO]]&lt;&gt;"",SUM(INDEX(PaymentSchedule[INTEREST],1,1):PaymentSchedule[[#This Row],[INTEREST]]),"")</f>
        <v>#VALUE!</v>
      </c>
    </row>
    <row r="21" spans="2:11">
      <c r="B21" s="10">
        <f ca="1">IF(LoanIsGood,IF(ROW()-ROW(PaymentSchedule[[#Headers],[PMT NO]])&gt;ScheduledNumberOfPayments,"",ROW()-ROW(PaymentSchedule[[#Headers],[PMT NO]])),"")</f>
        <v>5</v>
      </c>
      <c r="C21" s="12">
        <f ca="1">IF(PaymentSchedule[[#This Row],[PMT NO]]&lt;&gt;"",EOMONTH(LoanStartDate,ROW(PaymentSchedule[[#This Row],[PMT NO]])-ROW(PaymentSchedule[[#Headers],[PMT NO]])-2)+DAY(LoanStartDate),"")</f>
        <v>46083</v>
      </c>
      <c r="D2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" s="14">
        <f ca="1">IF(PaymentSchedule[[#This Row],[PMT NO]]&lt;&gt;"",ScheduledPayment,"")</f>
        <v>1073.6432460242781</v>
      </c>
      <c r="F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" s="14" t="e">
        <f ca="1">IF(PaymentSchedule[[#This Row],[PMT NO]]&lt;&gt;"",PaymentSchedule[[#This Row],[TOTAL PAYMENT]]-PaymentSchedule[[#This Row],[INTEREST]],"")</f>
        <v>#VALUE!</v>
      </c>
      <c r="I21" s="14" t="e">
        <f ca="1">IF(PaymentSchedule[[#This Row],[PMT NO]]&lt;&gt;"",PaymentSchedule[[#This Row],[BEGINNING BALANCE]]*(InterestRate/PaymentsPerYear),"")</f>
        <v>#VALUE!</v>
      </c>
      <c r="J21" s="14" t="s">
        <v>32</v>
      </c>
      <c r="K21" s="14" t="e">
        <f ca="1">IF(PaymentSchedule[[#This Row],[PMT NO]]&lt;&gt;"",SUM(INDEX(PaymentSchedule[INTEREST],1,1):PaymentSchedule[[#This Row],[INTEREST]]),"")</f>
        <v>#VALUE!</v>
      </c>
    </row>
    <row r="22" spans="2:11">
      <c r="B22" s="10">
        <f ca="1">IF(LoanIsGood,IF(ROW()-ROW(PaymentSchedule[[#Headers],[PMT NO]])&gt;ScheduledNumberOfPayments,"",ROW()-ROW(PaymentSchedule[[#Headers],[PMT NO]])),"")</f>
        <v>6</v>
      </c>
      <c r="C22" s="12">
        <f ca="1">IF(PaymentSchedule[[#This Row],[PMT NO]]&lt;&gt;"",EOMONTH(LoanStartDate,ROW(PaymentSchedule[[#This Row],[PMT NO]])-ROW(PaymentSchedule[[#Headers],[PMT NO]])-2)+DAY(LoanStartDate),"")</f>
        <v>46114</v>
      </c>
      <c r="D2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" s="14">
        <f ca="1">IF(PaymentSchedule[[#This Row],[PMT NO]]&lt;&gt;"",ScheduledPayment,"")</f>
        <v>1073.6432460242781</v>
      </c>
      <c r="F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" s="14" t="e">
        <f ca="1">IF(PaymentSchedule[[#This Row],[PMT NO]]&lt;&gt;"",PaymentSchedule[[#This Row],[TOTAL PAYMENT]]-PaymentSchedule[[#This Row],[INTEREST]],"")</f>
        <v>#VALUE!</v>
      </c>
      <c r="I22" s="14" t="e">
        <f ca="1">IF(PaymentSchedule[[#This Row],[PMT NO]]&lt;&gt;"",PaymentSchedule[[#This Row],[BEGINNING BALANCE]]*(InterestRate/PaymentsPerYear),"")</f>
        <v>#VALUE!</v>
      </c>
      <c r="J22" s="14" t="s">
        <v>32</v>
      </c>
      <c r="K22" s="14" t="e">
        <f ca="1">IF(PaymentSchedule[[#This Row],[PMT NO]]&lt;&gt;"",SUM(INDEX(PaymentSchedule[INTEREST],1,1):PaymentSchedule[[#This Row],[INTEREST]]),"")</f>
        <v>#VALUE!</v>
      </c>
    </row>
    <row r="23" spans="2:11">
      <c r="B23" s="10">
        <f ca="1">IF(LoanIsGood,IF(ROW()-ROW(PaymentSchedule[[#Headers],[PMT NO]])&gt;ScheduledNumberOfPayments,"",ROW()-ROW(PaymentSchedule[[#Headers],[PMT NO]])),"")</f>
        <v>7</v>
      </c>
      <c r="C23" s="12">
        <f ca="1">IF(PaymentSchedule[[#This Row],[PMT NO]]&lt;&gt;"",EOMONTH(LoanStartDate,ROW(PaymentSchedule[[#This Row],[PMT NO]])-ROW(PaymentSchedule[[#Headers],[PMT NO]])-2)+DAY(LoanStartDate),"")</f>
        <v>46144</v>
      </c>
      <c r="D2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" s="14">
        <f ca="1">IF(PaymentSchedule[[#This Row],[PMT NO]]&lt;&gt;"",ScheduledPayment,"")</f>
        <v>1073.6432460242781</v>
      </c>
      <c r="F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" s="14" t="e">
        <f ca="1">IF(PaymentSchedule[[#This Row],[PMT NO]]&lt;&gt;"",PaymentSchedule[[#This Row],[TOTAL PAYMENT]]-PaymentSchedule[[#This Row],[INTEREST]],"")</f>
        <v>#VALUE!</v>
      </c>
      <c r="I23" s="14" t="e">
        <f ca="1">IF(PaymentSchedule[[#This Row],[PMT NO]]&lt;&gt;"",PaymentSchedule[[#This Row],[BEGINNING BALANCE]]*(InterestRate/PaymentsPerYear),"")</f>
        <v>#VALUE!</v>
      </c>
      <c r="J23" s="14" t="s">
        <v>32</v>
      </c>
      <c r="K23" s="14" t="e">
        <f ca="1">IF(PaymentSchedule[[#This Row],[PMT NO]]&lt;&gt;"",SUM(INDEX(PaymentSchedule[INTEREST],1,1):PaymentSchedule[[#This Row],[INTEREST]]),"")</f>
        <v>#VALUE!</v>
      </c>
    </row>
    <row r="24" spans="2:11">
      <c r="B24" s="10">
        <f ca="1">IF(LoanIsGood,IF(ROW()-ROW(PaymentSchedule[[#Headers],[PMT NO]])&gt;ScheduledNumberOfPayments,"",ROW()-ROW(PaymentSchedule[[#Headers],[PMT NO]])),"")</f>
        <v>8</v>
      </c>
      <c r="C24" s="12">
        <f ca="1">IF(PaymentSchedule[[#This Row],[PMT NO]]&lt;&gt;"",EOMONTH(LoanStartDate,ROW(PaymentSchedule[[#This Row],[PMT NO]])-ROW(PaymentSchedule[[#Headers],[PMT NO]])-2)+DAY(LoanStartDate),"")</f>
        <v>46175</v>
      </c>
      <c r="D2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" s="14">
        <f ca="1">IF(PaymentSchedule[[#This Row],[PMT NO]]&lt;&gt;"",ScheduledPayment,"")</f>
        <v>1073.6432460242781</v>
      </c>
      <c r="F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" s="14" t="e">
        <f ca="1">IF(PaymentSchedule[[#This Row],[PMT NO]]&lt;&gt;"",PaymentSchedule[[#This Row],[TOTAL PAYMENT]]-PaymentSchedule[[#This Row],[INTEREST]],"")</f>
        <v>#VALUE!</v>
      </c>
      <c r="I24" s="14" t="e">
        <f ca="1">IF(PaymentSchedule[[#This Row],[PMT NO]]&lt;&gt;"",PaymentSchedule[[#This Row],[BEGINNING BALANCE]]*(InterestRate/PaymentsPerYear),"")</f>
        <v>#VALUE!</v>
      </c>
      <c r="J24" s="14" t="s">
        <v>32</v>
      </c>
      <c r="K24" s="14" t="e">
        <f ca="1">IF(PaymentSchedule[[#This Row],[PMT NO]]&lt;&gt;"",SUM(INDEX(PaymentSchedule[INTEREST],1,1):PaymentSchedule[[#This Row],[INTEREST]]),"")</f>
        <v>#VALUE!</v>
      </c>
    </row>
    <row r="25" spans="2:11">
      <c r="B25" s="10">
        <f ca="1">IF(LoanIsGood,IF(ROW()-ROW(PaymentSchedule[[#Headers],[PMT NO]])&gt;ScheduledNumberOfPayments,"",ROW()-ROW(PaymentSchedule[[#Headers],[PMT NO]])),"")</f>
        <v>9</v>
      </c>
      <c r="C25" s="12">
        <f ca="1">IF(PaymentSchedule[[#This Row],[PMT NO]]&lt;&gt;"",EOMONTH(LoanStartDate,ROW(PaymentSchedule[[#This Row],[PMT NO]])-ROW(PaymentSchedule[[#Headers],[PMT NO]])-2)+DAY(LoanStartDate),"")</f>
        <v>46205</v>
      </c>
      <c r="D2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" s="14">
        <f ca="1">IF(PaymentSchedule[[#This Row],[PMT NO]]&lt;&gt;"",ScheduledPayment,"")</f>
        <v>1073.6432460242781</v>
      </c>
      <c r="F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" s="14" t="e">
        <f ca="1">IF(PaymentSchedule[[#This Row],[PMT NO]]&lt;&gt;"",PaymentSchedule[[#This Row],[TOTAL PAYMENT]]-PaymentSchedule[[#This Row],[INTEREST]],"")</f>
        <v>#VALUE!</v>
      </c>
      <c r="I25" s="14" t="e">
        <f ca="1">IF(PaymentSchedule[[#This Row],[PMT NO]]&lt;&gt;"",PaymentSchedule[[#This Row],[BEGINNING BALANCE]]*(InterestRate/PaymentsPerYear),"")</f>
        <v>#VALUE!</v>
      </c>
      <c r="J25" s="14" t="s">
        <v>32</v>
      </c>
      <c r="K25" s="14" t="e">
        <f ca="1">IF(PaymentSchedule[[#This Row],[PMT NO]]&lt;&gt;"",SUM(INDEX(PaymentSchedule[INTEREST],1,1):PaymentSchedule[[#This Row],[INTEREST]]),"")</f>
        <v>#VALUE!</v>
      </c>
    </row>
    <row r="26" spans="2:11">
      <c r="B26" s="10">
        <f ca="1">IF(LoanIsGood,IF(ROW()-ROW(PaymentSchedule[[#Headers],[PMT NO]])&gt;ScheduledNumberOfPayments,"",ROW()-ROW(PaymentSchedule[[#Headers],[PMT NO]])),"")</f>
        <v>10</v>
      </c>
      <c r="C26" s="12">
        <f ca="1">IF(PaymentSchedule[[#This Row],[PMT NO]]&lt;&gt;"",EOMONTH(LoanStartDate,ROW(PaymentSchedule[[#This Row],[PMT NO]])-ROW(PaymentSchedule[[#Headers],[PMT NO]])-2)+DAY(LoanStartDate),"")</f>
        <v>46236</v>
      </c>
      <c r="D2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" s="14">
        <f ca="1">IF(PaymentSchedule[[#This Row],[PMT NO]]&lt;&gt;"",ScheduledPayment,"")</f>
        <v>1073.6432460242781</v>
      </c>
      <c r="F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" s="14" t="e">
        <f ca="1">IF(PaymentSchedule[[#This Row],[PMT NO]]&lt;&gt;"",PaymentSchedule[[#This Row],[TOTAL PAYMENT]]-PaymentSchedule[[#This Row],[INTEREST]],"")</f>
        <v>#VALUE!</v>
      </c>
      <c r="I26" s="14" t="e">
        <f ca="1">IF(PaymentSchedule[[#This Row],[PMT NO]]&lt;&gt;"",PaymentSchedule[[#This Row],[BEGINNING BALANCE]]*(InterestRate/PaymentsPerYear),"")</f>
        <v>#VALUE!</v>
      </c>
      <c r="J26" s="14" t="s">
        <v>32</v>
      </c>
      <c r="K26" s="14" t="e">
        <f ca="1">IF(PaymentSchedule[[#This Row],[PMT NO]]&lt;&gt;"",SUM(INDEX(PaymentSchedule[INTEREST],1,1):PaymentSchedule[[#This Row],[INTEREST]]),"")</f>
        <v>#VALUE!</v>
      </c>
    </row>
    <row r="27" spans="2:11">
      <c r="B27" s="10">
        <f ca="1">IF(LoanIsGood,IF(ROW()-ROW(PaymentSchedule[[#Headers],[PMT NO]])&gt;ScheduledNumberOfPayments,"",ROW()-ROW(PaymentSchedule[[#Headers],[PMT NO]])),"")</f>
        <v>11</v>
      </c>
      <c r="C27" s="12">
        <f ca="1">IF(PaymentSchedule[[#This Row],[PMT NO]]&lt;&gt;"",EOMONTH(LoanStartDate,ROW(PaymentSchedule[[#This Row],[PMT NO]])-ROW(PaymentSchedule[[#Headers],[PMT NO]])-2)+DAY(LoanStartDate),"")</f>
        <v>46267</v>
      </c>
      <c r="D2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" s="14">
        <f ca="1">IF(PaymentSchedule[[#This Row],[PMT NO]]&lt;&gt;"",ScheduledPayment,"")</f>
        <v>1073.6432460242781</v>
      </c>
      <c r="F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" s="14" t="e">
        <f ca="1">IF(PaymentSchedule[[#This Row],[PMT NO]]&lt;&gt;"",PaymentSchedule[[#This Row],[TOTAL PAYMENT]]-PaymentSchedule[[#This Row],[INTEREST]],"")</f>
        <v>#VALUE!</v>
      </c>
      <c r="I27" s="14" t="e">
        <f ca="1">IF(PaymentSchedule[[#This Row],[PMT NO]]&lt;&gt;"",PaymentSchedule[[#This Row],[BEGINNING BALANCE]]*(InterestRate/PaymentsPerYear),"")</f>
        <v>#VALUE!</v>
      </c>
      <c r="J27" s="14" t="s">
        <v>32</v>
      </c>
      <c r="K27" s="14" t="e">
        <f ca="1">IF(PaymentSchedule[[#This Row],[PMT NO]]&lt;&gt;"",SUM(INDEX(PaymentSchedule[INTEREST],1,1):PaymentSchedule[[#This Row],[INTEREST]]),"")</f>
        <v>#VALUE!</v>
      </c>
    </row>
    <row r="28" spans="2:11">
      <c r="B28" s="10">
        <f ca="1">IF(LoanIsGood,IF(ROW()-ROW(PaymentSchedule[[#Headers],[PMT NO]])&gt;ScheduledNumberOfPayments,"",ROW()-ROW(PaymentSchedule[[#Headers],[PMT NO]])),"")</f>
        <v>12</v>
      </c>
      <c r="C28" s="12">
        <f ca="1">IF(PaymentSchedule[[#This Row],[PMT NO]]&lt;&gt;"",EOMONTH(LoanStartDate,ROW(PaymentSchedule[[#This Row],[PMT NO]])-ROW(PaymentSchedule[[#Headers],[PMT NO]])-2)+DAY(LoanStartDate),"")</f>
        <v>46297</v>
      </c>
      <c r="D2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" s="14">
        <f ca="1">IF(PaymentSchedule[[#This Row],[PMT NO]]&lt;&gt;"",ScheduledPayment,"")</f>
        <v>1073.6432460242781</v>
      </c>
      <c r="F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" s="14" t="e">
        <f ca="1">IF(PaymentSchedule[[#This Row],[PMT NO]]&lt;&gt;"",PaymentSchedule[[#This Row],[TOTAL PAYMENT]]-PaymentSchedule[[#This Row],[INTEREST]],"")</f>
        <v>#VALUE!</v>
      </c>
      <c r="I28" s="14" t="e">
        <f ca="1">IF(PaymentSchedule[[#This Row],[PMT NO]]&lt;&gt;"",PaymentSchedule[[#This Row],[BEGINNING BALANCE]]*(InterestRate/PaymentsPerYear),"")</f>
        <v>#VALUE!</v>
      </c>
      <c r="J28" s="14" t="s">
        <v>32</v>
      </c>
      <c r="K28" s="14" t="e">
        <f ca="1">IF(PaymentSchedule[[#This Row],[PMT NO]]&lt;&gt;"",SUM(INDEX(PaymentSchedule[INTEREST],1,1):PaymentSchedule[[#This Row],[INTEREST]]),"")</f>
        <v>#VALUE!</v>
      </c>
    </row>
    <row r="29" spans="2:11">
      <c r="B29" s="10">
        <f ca="1">IF(LoanIsGood,IF(ROW()-ROW(PaymentSchedule[[#Headers],[PMT NO]])&gt;ScheduledNumberOfPayments,"",ROW()-ROW(PaymentSchedule[[#Headers],[PMT NO]])),"")</f>
        <v>13</v>
      </c>
      <c r="C29" s="12">
        <f ca="1">IF(PaymentSchedule[[#This Row],[PMT NO]]&lt;&gt;"",EOMONTH(LoanStartDate,ROW(PaymentSchedule[[#This Row],[PMT NO]])-ROW(PaymentSchedule[[#Headers],[PMT NO]])-2)+DAY(LoanStartDate),"")</f>
        <v>46328</v>
      </c>
      <c r="D2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" s="14">
        <f ca="1">IF(PaymentSchedule[[#This Row],[PMT NO]]&lt;&gt;"",ScheduledPayment,"")</f>
        <v>1073.6432460242781</v>
      </c>
      <c r="F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" s="14" t="e">
        <f ca="1">IF(PaymentSchedule[[#This Row],[PMT NO]]&lt;&gt;"",PaymentSchedule[[#This Row],[TOTAL PAYMENT]]-PaymentSchedule[[#This Row],[INTEREST]],"")</f>
        <v>#VALUE!</v>
      </c>
      <c r="I29" s="14" t="e">
        <f ca="1">IF(PaymentSchedule[[#This Row],[PMT NO]]&lt;&gt;"",PaymentSchedule[[#This Row],[BEGINNING BALANCE]]*(InterestRate/PaymentsPerYear),"")</f>
        <v>#VALUE!</v>
      </c>
      <c r="J29" s="14" t="s">
        <v>32</v>
      </c>
      <c r="K29" s="14" t="e">
        <f ca="1">IF(PaymentSchedule[[#This Row],[PMT NO]]&lt;&gt;"",SUM(INDEX(PaymentSchedule[INTEREST],1,1):PaymentSchedule[[#This Row],[INTEREST]]),"")</f>
        <v>#VALUE!</v>
      </c>
    </row>
    <row r="30" spans="2:11">
      <c r="B30" s="10">
        <f ca="1">IF(LoanIsGood,IF(ROW()-ROW(PaymentSchedule[[#Headers],[PMT NO]])&gt;ScheduledNumberOfPayments,"",ROW()-ROW(PaymentSchedule[[#Headers],[PMT NO]])),"")</f>
        <v>14</v>
      </c>
      <c r="C30" s="12">
        <f ca="1">IF(PaymentSchedule[[#This Row],[PMT NO]]&lt;&gt;"",EOMONTH(LoanStartDate,ROW(PaymentSchedule[[#This Row],[PMT NO]])-ROW(PaymentSchedule[[#Headers],[PMT NO]])-2)+DAY(LoanStartDate),"")</f>
        <v>46358</v>
      </c>
      <c r="D3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" s="14">
        <f ca="1">IF(PaymentSchedule[[#This Row],[PMT NO]]&lt;&gt;"",ScheduledPayment,"")</f>
        <v>1073.6432460242781</v>
      </c>
      <c r="F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" s="14" t="e">
        <f ca="1">IF(PaymentSchedule[[#This Row],[PMT NO]]&lt;&gt;"",PaymentSchedule[[#This Row],[TOTAL PAYMENT]]-PaymentSchedule[[#This Row],[INTEREST]],"")</f>
        <v>#VALUE!</v>
      </c>
      <c r="I30" s="14" t="e">
        <f ca="1">IF(PaymentSchedule[[#This Row],[PMT NO]]&lt;&gt;"",PaymentSchedule[[#This Row],[BEGINNING BALANCE]]*(InterestRate/PaymentsPerYear),"")</f>
        <v>#VALUE!</v>
      </c>
      <c r="J30" s="14" t="s">
        <v>32</v>
      </c>
      <c r="K30" s="14" t="e">
        <f ca="1">IF(PaymentSchedule[[#This Row],[PMT NO]]&lt;&gt;"",SUM(INDEX(PaymentSchedule[INTEREST],1,1):PaymentSchedule[[#This Row],[INTEREST]]),"")</f>
        <v>#VALUE!</v>
      </c>
    </row>
    <row r="31" spans="2:11">
      <c r="B31" s="10">
        <f ca="1">IF(LoanIsGood,IF(ROW()-ROW(PaymentSchedule[[#Headers],[PMT NO]])&gt;ScheduledNumberOfPayments,"",ROW()-ROW(PaymentSchedule[[#Headers],[PMT NO]])),"")</f>
        <v>15</v>
      </c>
      <c r="C31" s="12">
        <f ca="1">IF(PaymentSchedule[[#This Row],[PMT NO]]&lt;&gt;"",EOMONTH(LoanStartDate,ROW(PaymentSchedule[[#This Row],[PMT NO]])-ROW(PaymentSchedule[[#Headers],[PMT NO]])-2)+DAY(LoanStartDate),"")</f>
        <v>46389</v>
      </c>
      <c r="D3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" s="14">
        <f ca="1">IF(PaymentSchedule[[#This Row],[PMT NO]]&lt;&gt;"",ScheduledPayment,"")</f>
        <v>1073.6432460242781</v>
      </c>
      <c r="F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" s="14" t="e">
        <f ca="1">IF(PaymentSchedule[[#This Row],[PMT NO]]&lt;&gt;"",PaymentSchedule[[#This Row],[TOTAL PAYMENT]]-PaymentSchedule[[#This Row],[INTEREST]],"")</f>
        <v>#VALUE!</v>
      </c>
      <c r="I31" s="14" t="e">
        <f ca="1">IF(PaymentSchedule[[#This Row],[PMT NO]]&lt;&gt;"",PaymentSchedule[[#This Row],[BEGINNING BALANCE]]*(InterestRate/PaymentsPerYear),"")</f>
        <v>#VALUE!</v>
      </c>
      <c r="J31" s="14" t="s">
        <v>32</v>
      </c>
      <c r="K31" s="14" t="e">
        <f ca="1">IF(PaymentSchedule[[#This Row],[PMT NO]]&lt;&gt;"",SUM(INDEX(PaymentSchedule[INTEREST],1,1):PaymentSchedule[[#This Row],[INTEREST]]),"")</f>
        <v>#VALUE!</v>
      </c>
    </row>
    <row r="32" spans="2:11">
      <c r="B32" s="10">
        <f ca="1">IF(LoanIsGood,IF(ROW()-ROW(PaymentSchedule[[#Headers],[PMT NO]])&gt;ScheduledNumberOfPayments,"",ROW()-ROW(PaymentSchedule[[#Headers],[PMT NO]])),"")</f>
        <v>16</v>
      </c>
      <c r="C32" s="12">
        <f ca="1">IF(PaymentSchedule[[#This Row],[PMT NO]]&lt;&gt;"",EOMONTH(LoanStartDate,ROW(PaymentSchedule[[#This Row],[PMT NO]])-ROW(PaymentSchedule[[#Headers],[PMT NO]])-2)+DAY(LoanStartDate),"")</f>
        <v>46420</v>
      </c>
      <c r="D3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" s="14">
        <f ca="1">IF(PaymentSchedule[[#This Row],[PMT NO]]&lt;&gt;"",ScheduledPayment,"")</f>
        <v>1073.6432460242781</v>
      </c>
      <c r="F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" s="14" t="e">
        <f ca="1">IF(PaymentSchedule[[#This Row],[PMT NO]]&lt;&gt;"",PaymentSchedule[[#This Row],[TOTAL PAYMENT]]-PaymentSchedule[[#This Row],[INTEREST]],"")</f>
        <v>#VALUE!</v>
      </c>
      <c r="I32" s="14" t="e">
        <f ca="1">IF(PaymentSchedule[[#This Row],[PMT NO]]&lt;&gt;"",PaymentSchedule[[#This Row],[BEGINNING BALANCE]]*(InterestRate/PaymentsPerYear),"")</f>
        <v>#VALUE!</v>
      </c>
      <c r="J32" s="14" t="s">
        <v>32</v>
      </c>
      <c r="K32" s="14" t="e">
        <f ca="1">IF(PaymentSchedule[[#This Row],[PMT NO]]&lt;&gt;"",SUM(INDEX(PaymentSchedule[INTEREST],1,1):PaymentSchedule[[#This Row],[INTEREST]]),"")</f>
        <v>#VALUE!</v>
      </c>
    </row>
    <row r="33" spans="2:11">
      <c r="B33" s="10">
        <f ca="1">IF(LoanIsGood,IF(ROW()-ROW(PaymentSchedule[[#Headers],[PMT NO]])&gt;ScheduledNumberOfPayments,"",ROW()-ROW(PaymentSchedule[[#Headers],[PMT NO]])),"")</f>
        <v>17</v>
      </c>
      <c r="C33" s="12">
        <f ca="1">IF(PaymentSchedule[[#This Row],[PMT NO]]&lt;&gt;"",EOMONTH(LoanStartDate,ROW(PaymentSchedule[[#This Row],[PMT NO]])-ROW(PaymentSchedule[[#Headers],[PMT NO]])-2)+DAY(LoanStartDate),"")</f>
        <v>46448</v>
      </c>
      <c r="D3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" s="14">
        <f ca="1">IF(PaymentSchedule[[#This Row],[PMT NO]]&lt;&gt;"",ScheduledPayment,"")</f>
        <v>1073.6432460242781</v>
      </c>
      <c r="F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" s="14" t="e">
        <f ca="1">IF(PaymentSchedule[[#This Row],[PMT NO]]&lt;&gt;"",PaymentSchedule[[#This Row],[TOTAL PAYMENT]]-PaymentSchedule[[#This Row],[INTEREST]],"")</f>
        <v>#VALUE!</v>
      </c>
      <c r="I33" s="14" t="e">
        <f ca="1">IF(PaymentSchedule[[#This Row],[PMT NO]]&lt;&gt;"",PaymentSchedule[[#This Row],[BEGINNING BALANCE]]*(InterestRate/PaymentsPerYear),"")</f>
        <v>#VALUE!</v>
      </c>
      <c r="J33" s="14" t="s">
        <v>32</v>
      </c>
      <c r="K33" s="14" t="e">
        <f ca="1">IF(PaymentSchedule[[#This Row],[PMT NO]]&lt;&gt;"",SUM(INDEX(PaymentSchedule[INTEREST],1,1):PaymentSchedule[[#This Row],[INTEREST]]),"")</f>
        <v>#VALUE!</v>
      </c>
    </row>
    <row r="34" spans="2:11">
      <c r="B34" s="10">
        <f ca="1">IF(LoanIsGood,IF(ROW()-ROW(PaymentSchedule[[#Headers],[PMT NO]])&gt;ScheduledNumberOfPayments,"",ROW()-ROW(PaymentSchedule[[#Headers],[PMT NO]])),"")</f>
        <v>18</v>
      </c>
      <c r="C34" s="12">
        <f ca="1">IF(PaymentSchedule[[#This Row],[PMT NO]]&lt;&gt;"",EOMONTH(LoanStartDate,ROW(PaymentSchedule[[#This Row],[PMT NO]])-ROW(PaymentSchedule[[#Headers],[PMT NO]])-2)+DAY(LoanStartDate),"")</f>
        <v>46479</v>
      </c>
      <c r="D3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" s="14">
        <f ca="1">IF(PaymentSchedule[[#This Row],[PMT NO]]&lt;&gt;"",ScheduledPayment,"")</f>
        <v>1073.6432460242781</v>
      </c>
      <c r="F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" s="14" t="e">
        <f ca="1">IF(PaymentSchedule[[#This Row],[PMT NO]]&lt;&gt;"",PaymentSchedule[[#This Row],[TOTAL PAYMENT]]-PaymentSchedule[[#This Row],[INTEREST]],"")</f>
        <v>#VALUE!</v>
      </c>
      <c r="I34" s="14" t="e">
        <f ca="1">IF(PaymentSchedule[[#This Row],[PMT NO]]&lt;&gt;"",PaymentSchedule[[#This Row],[BEGINNING BALANCE]]*(InterestRate/PaymentsPerYear),"")</f>
        <v>#VALUE!</v>
      </c>
      <c r="J34" s="14" t="s">
        <v>32</v>
      </c>
      <c r="K34" s="14" t="e">
        <f ca="1">IF(PaymentSchedule[[#This Row],[PMT NO]]&lt;&gt;"",SUM(INDEX(PaymentSchedule[INTEREST],1,1):PaymentSchedule[[#This Row],[INTEREST]]),"")</f>
        <v>#VALUE!</v>
      </c>
    </row>
    <row r="35" spans="2:11">
      <c r="B35" s="10">
        <f ca="1">IF(LoanIsGood,IF(ROW()-ROW(PaymentSchedule[[#Headers],[PMT NO]])&gt;ScheduledNumberOfPayments,"",ROW()-ROW(PaymentSchedule[[#Headers],[PMT NO]])),"")</f>
        <v>19</v>
      </c>
      <c r="C35" s="12">
        <f ca="1">IF(PaymentSchedule[[#This Row],[PMT NO]]&lt;&gt;"",EOMONTH(LoanStartDate,ROW(PaymentSchedule[[#This Row],[PMT NO]])-ROW(PaymentSchedule[[#Headers],[PMT NO]])-2)+DAY(LoanStartDate),"")</f>
        <v>46509</v>
      </c>
      <c r="D3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" s="14">
        <f ca="1">IF(PaymentSchedule[[#This Row],[PMT NO]]&lt;&gt;"",ScheduledPayment,"")</f>
        <v>1073.6432460242781</v>
      </c>
      <c r="F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" s="14" t="e">
        <f ca="1">IF(PaymentSchedule[[#This Row],[PMT NO]]&lt;&gt;"",PaymentSchedule[[#This Row],[TOTAL PAYMENT]]-PaymentSchedule[[#This Row],[INTEREST]],"")</f>
        <v>#VALUE!</v>
      </c>
      <c r="I35" s="14" t="e">
        <f ca="1">IF(PaymentSchedule[[#This Row],[PMT NO]]&lt;&gt;"",PaymentSchedule[[#This Row],[BEGINNING BALANCE]]*(InterestRate/PaymentsPerYear),"")</f>
        <v>#VALUE!</v>
      </c>
      <c r="J35" s="14" t="s">
        <v>32</v>
      </c>
      <c r="K35" s="14" t="e">
        <f ca="1">IF(PaymentSchedule[[#This Row],[PMT NO]]&lt;&gt;"",SUM(INDEX(PaymentSchedule[INTEREST],1,1):PaymentSchedule[[#This Row],[INTEREST]]),"")</f>
        <v>#VALUE!</v>
      </c>
    </row>
    <row r="36" spans="2:11">
      <c r="B36" s="10">
        <f ca="1">IF(LoanIsGood,IF(ROW()-ROW(PaymentSchedule[[#Headers],[PMT NO]])&gt;ScheduledNumberOfPayments,"",ROW()-ROW(PaymentSchedule[[#Headers],[PMT NO]])),"")</f>
        <v>20</v>
      </c>
      <c r="C36" s="12">
        <f ca="1">IF(PaymentSchedule[[#This Row],[PMT NO]]&lt;&gt;"",EOMONTH(LoanStartDate,ROW(PaymentSchedule[[#This Row],[PMT NO]])-ROW(PaymentSchedule[[#Headers],[PMT NO]])-2)+DAY(LoanStartDate),"")</f>
        <v>46540</v>
      </c>
      <c r="D3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" s="14">
        <f ca="1">IF(PaymentSchedule[[#This Row],[PMT NO]]&lt;&gt;"",ScheduledPayment,"")</f>
        <v>1073.6432460242781</v>
      </c>
      <c r="F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" s="14" t="e">
        <f ca="1">IF(PaymentSchedule[[#This Row],[PMT NO]]&lt;&gt;"",PaymentSchedule[[#This Row],[TOTAL PAYMENT]]-PaymentSchedule[[#This Row],[INTEREST]],"")</f>
        <v>#VALUE!</v>
      </c>
      <c r="I36" s="14" t="e">
        <f ca="1">IF(PaymentSchedule[[#This Row],[PMT NO]]&lt;&gt;"",PaymentSchedule[[#This Row],[BEGINNING BALANCE]]*(InterestRate/PaymentsPerYear),"")</f>
        <v>#VALUE!</v>
      </c>
      <c r="J36" s="14" t="s">
        <v>32</v>
      </c>
      <c r="K36" s="14" t="e">
        <f ca="1">IF(PaymentSchedule[[#This Row],[PMT NO]]&lt;&gt;"",SUM(INDEX(PaymentSchedule[INTEREST],1,1):PaymentSchedule[[#This Row],[INTEREST]]),"")</f>
        <v>#VALUE!</v>
      </c>
    </row>
    <row r="37" spans="2:11">
      <c r="B37" s="10">
        <f ca="1">IF(LoanIsGood,IF(ROW()-ROW(PaymentSchedule[[#Headers],[PMT NO]])&gt;ScheduledNumberOfPayments,"",ROW()-ROW(PaymentSchedule[[#Headers],[PMT NO]])),"")</f>
        <v>21</v>
      </c>
      <c r="C37" s="12">
        <f ca="1">IF(PaymentSchedule[[#This Row],[PMT NO]]&lt;&gt;"",EOMONTH(LoanStartDate,ROW(PaymentSchedule[[#This Row],[PMT NO]])-ROW(PaymentSchedule[[#Headers],[PMT NO]])-2)+DAY(LoanStartDate),"")</f>
        <v>46570</v>
      </c>
      <c r="D3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" s="14">
        <f ca="1">IF(PaymentSchedule[[#This Row],[PMT NO]]&lt;&gt;"",ScheduledPayment,"")</f>
        <v>1073.6432460242781</v>
      </c>
      <c r="F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" s="14" t="e">
        <f ca="1">IF(PaymentSchedule[[#This Row],[PMT NO]]&lt;&gt;"",PaymentSchedule[[#This Row],[TOTAL PAYMENT]]-PaymentSchedule[[#This Row],[INTEREST]],"")</f>
        <v>#VALUE!</v>
      </c>
      <c r="I37" s="14" t="e">
        <f ca="1">IF(PaymentSchedule[[#This Row],[PMT NO]]&lt;&gt;"",PaymentSchedule[[#This Row],[BEGINNING BALANCE]]*(InterestRate/PaymentsPerYear),"")</f>
        <v>#VALUE!</v>
      </c>
      <c r="J37" s="14" t="s">
        <v>32</v>
      </c>
      <c r="K37" s="14" t="e">
        <f ca="1">IF(PaymentSchedule[[#This Row],[PMT NO]]&lt;&gt;"",SUM(INDEX(PaymentSchedule[INTEREST],1,1):PaymentSchedule[[#This Row],[INTEREST]]),"")</f>
        <v>#VALUE!</v>
      </c>
    </row>
    <row r="38" spans="2:11">
      <c r="B38" s="10">
        <f ca="1">IF(LoanIsGood,IF(ROW()-ROW(PaymentSchedule[[#Headers],[PMT NO]])&gt;ScheduledNumberOfPayments,"",ROW()-ROW(PaymentSchedule[[#Headers],[PMT NO]])),"")</f>
        <v>22</v>
      </c>
      <c r="C38" s="12">
        <f ca="1">IF(PaymentSchedule[[#This Row],[PMT NO]]&lt;&gt;"",EOMONTH(LoanStartDate,ROW(PaymentSchedule[[#This Row],[PMT NO]])-ROW(PaymentSchedule[[#Headers],[PMT NO]])-2)+DAY(LoanStartDate),"")</f>
        <v>46601</v>
      </c>
      <c r="D3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8" s="14">
        <f ca="1">IF(PaymentSchedule[[#This Row],[PMT NO]]&lt;&gt;"",ScheduledPayment,"")</f>
        <v>1073.6432460242781</v>
      </c>
      <c r="F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8" s="14" t="e">
        <f ca="1">IF(PaymentSchedule[[#This Row],[PMT NO]]&lt;&gt;"",PaymentSchedule[[#This Row],[TOTAL PAYMENT]]-PaymentSchedule[[#This Row],[INTEREST]],"")</f>
        <v>#VALUE!</v>
      </c>
      <c r="I38" s="14" t="e">
        <f ca="1">IF(PaymentSchedule[[#This Row],[PMT NO]]&lt;&gt;"",PaymentSchedule[[#This Row],[BEGINNING BALANCE]]*(InterestRate/PaymentsPerYear),"")</f>
        <v>#VALUE!</v>
      </c>
      <c r="J38" s="14" t="s">
        <v>32</v>
      </c>
      <c r="K38" s="14" t="e">
        <f ca="1">IF(PaymentSchedule[[#This Row],[PMT NO]]&lt;&gt;"",SUM(INDEX(PaymentSchedule[INTEREST],1,1):PaymentSchedule[[#This Row],[INTEREST]]),"")</f>
        <v>#VALUE!</v>
      </c>
    </row>
    <row r="39" spans="2:11">
      <c r="B39" s="18">
        <f ca="1">IF(LoanIsGood,IF(ROW()-ROW(PaymentSchedule[[#Headers],[PMT NO]])&gt;ScheduledNumberOfPayments,"",ROW()-ROW(PaymentSchedule[[#Headers],[PMT NO]])),"")</f>
        <v>23</v>
      </c>
      <c r="C39" s="19">
        <f ca="1">IF(PaymentSchedule[[#This Row],[PMT NO]]&lt;&gt;"",EOMONTH(LoanStartDate,ROW(PaymentSchedule[[#This Row],[PMT NO]])-ROW(PaymentSchedule[[#Headers],[PMT NO]])-2)+DAY(LoanStartDate),"")</f>
        <v>46632</v>
      </c>
      <c r="D39" s="20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9" s="20">
        <f ca="1">IF(PaymentSchedule[[#This Row],[PMT NO]]&lt;&gt;"",ScheduledPayment,"")</f>
        <v>1073.6432460242781</v>
      </c>
      <c r="F39" s="20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9" s="20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9" s="20" t="e">
        <f ca="1">IF(PaymentSchedule[[#This Row],[PMT NO]]&lt;&gt;"",PaymentSchedule[[#This Row],[TOTAL PAYMENT]]-PaymentSchedule[[#This Row],[INTEREST]],"")</f>
        <v>#VALUE!</v>
      </c>
      <c r="I39" s="20" t="e">
        <f ca="1">IF(PaymentSchedule[[#This Row],[PMT NO]]&lt;&gt;"",PaymentSchedule[[#This Row],[BEGINNING BALANCE]]*(InterestRate/PaymentsPerYear),"")</f>
        <v>#VALUE!</v>
      </c>
      <c r="J39" s="14" t="s">
        <v>32</v>
      </c>
      <c r="K39" s="20" t="e">
        <f ca="1">IF(PaymentSchedule[[#This Row],[PMT NO]]&lt;&gt;"",SUM(INDEX(PaymentSchedule[INTEREST],1,1):PaymentSchedule[[#This Row],[INTEREST]]),"")</f>
        <v>#VALUE!</v>
      </c>
    </row>
    <row r="40" spans="2:11">
      <c r="B40" s="10">
        <f ca="1">IF(LoanIsGood,IF(ROW()-ROW(PaymentSchedule[[#Headers],[PMT NO]])&gt;ScheduledNumberOfPayments,"",ROW()-ROW(PaymentSchedule[[#Headers],[PMT NO]])),"")</f>
        <v>24</v>
      </c>
      <c r="C40" s="12">
        <f ca="1">IF(PaymentSchedule[[#This Row],[PMT NO]]&lt;&gt;"",EOMONTH(LoanStartDate,ROW(PaymentSchedule[[#This Row],[PMT NO]])-ROW(PaymentSchedule[[#Headers],[PMT NO]])-2)+DAY(LoanStartDate),"")</f>
        <v>46662</v>
      </c>
      <c r="D4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0" s="14">
        <f ca="1">IF(PaymentSchedule[[#This Row],[PMT NO]]&lt;&gt;"",ScheduledPayment,"")</f>
        <v>1073.6432460242781</v>
      </c>
      <c r="F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0" s="14" t="e">
        <f ca="1">IF(PaymentSchedule[[#This Row],[PMT NO]]&lt;&gt;"",PaymentSchedule[[#This Row],[TOTAL PAYMENT]]-PaymentSchedule[[#This Row],[INTEREST]],"")</f>
        <v>#VALUE!</v>
      </c>
      <c r="I40" s="14" t="e">
        <f ca="1">IF(PaymentSchedule[[#This Row],[PMT NO]]&lt;&gt;"",PaymentSchedule[[#This Row],[BEGINNING BALANCE]]*(InterestRate/PaymentsPerYear),"")</f>
        <v>#VALUE!</v>
      </c>
      <c r="J40" s="14" t="s">
        <v>32</v>
      </c>
      <c r="K40" s="14" t="e">
        <f ca="1">IF(PaymentSchedule[[#This Row],[PMT NO]]&lt;&gt;"",SUM(INDEX(PaymentSchedule[INTEREST],1,1):PaymentSchedule[[#This Row],[INTEREST]]),"")</f>
        <v>#VALUE!</v>
      </c>
    </row>
    <row r="41" spans="2:11">
      <c r="B41" s="10">
        <f ca="1">IF(LoanIsGood,IF(ROW()-ROW(PaymentSchedule[[#Headers],[PMT NO]])&gt;ScheduledNumberOfPayments,"",ROW()-ROW(PaymentSchedule[[#Headers],[PMT NO]])),"")</f>
        <v>25</v>
      </c>
      <c r="C41" s="12">
        <f ca="1">IF(PaymentSchedule[[#This Row],[PMT NO]]&lt;&gt;"",EOMONTH(LoanStartDate,ROW(PaymentSchedule[[#This Row],[PMT NO]])-ROW(PaymentSchedule[[#Headers],[PMT NO]])-2)+DAY(LoanStartDate),"")</f>
        <v>46693</v>
      </c>
      <c r="D4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1" s="14">
        <f ca="1">IF(PaymentSchedule[[#This Row],[PMT NO]]&lt;&gt;"",ScheduledPayment,"")</f>
        <v>1073.6432460242781</v>
      </c>
      <c r="F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1" s="14" t="e">
        <f ca="1">IF(PaymentSchedule[[#This Row],[PMT NO]]&lt;&gt;"",PaymentSchedule[[#This Row],[TOTAL PAYMENT]]-PaymentSchedule[[#This Row],[INTEREST]],"")</f>
        <v>#VALUE!</v>
      </c>
      <c r="I41" s="14" t="e">
        <f ca="1">IF(PaymentSchedule[[#This Row],[PMT NO]]&lt;&gt;"",PaymentSchedule[[#This Row],[BEGINNING BALANCE]]*(InterestRate/PaymentsPerYear),"")</f>
        <v>#VALUE!</v>
      </c>
      <c r="J41" s="14" t="s">
        <v>32</v>
      </c>
      <c r="K41" s="14" t="e">
        <f ca="1">IF(PaymentSchedule[[#This Row],[PMT NO]]&lt;&gt;"",SUM(INDEX(PaymentSchedule[INTEREST],1,1):PaymentSchedule[[#This Row],[INTEREST]]),"")</f>
        <v>#VALUE!</v>
      </c>
    </row>
    <row r="42" spans="2:11">
      <c r="B42" s="10">
        <f ca="1">IF(LoanIsGood,IF(ROW()-ROW(PaymentSchedule[[#Headers],[PMT NO]])&gt;ScheduledNumberOfPayments,"",ROW()-ROW(PaymentSchedule[[#Headers],[PMT NO]])),"")</f>
        <v>26</v>
      </c>
      <c r="C42" s="12">
        <f ca="1">IF(PaymentSchedule[[#This Row],[PMT NO]]&lt;&gt;"",EOMONTH(LoanStartDate,ROW(PaymentSchedule[[#This Row],[PMT NO]])-ROW(PaymentSchedule[[#Headers],[PMT NO]])-2)+DAY(LoanStartDate),"")</f>
        <v>46723</v>
      </c>
      <c r="D4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2" s="14">
        <f ca="1">IF(PaymentSchedule[[#This Row],[PMT NO]]&lt;&gt;"",ScheduledPayment,"")</f>
        <v>1073.6432460242781</v>
      </c>
      <c r="F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2" s="14" t="e">
        <f ca="1">IF(PaymentSchedule[[#This Row],[PMT NO]]&lt;&gt;"",PaymentSchedule[[#This Row],[TOTAL PAYMENT]]-PaymentSchedule[[#This Row],[INTEREST]],"")</f>
        <v>#VALUE!</v>
      </c>
      <c r="I42" s="14" t="e">
        <f ca="1">IF(PaymentSchedule[[#This Row],[PMT NO]]&lt;&gt;"",PaymentSchedule[[#This Row],[BEGINNING BALANCE]]*(InterestRate/PaymentsPerYear),"")</f>
        <v>#VALUE!</v>
      </c>
      <c r="J42" s="14" t="s">
        <v>32</v>
      </c>
      <c r="K42" s="14" t="e">
        <f ca="1">IF(PaymentSchedule[[#This Row],[PMT NO]]&lt;&gt;"",SUM(INDEX(PaymentSchedule[INTEREST],1,1):PaymentSchedule[[#This Row],[INTEREST]]),"")</f>
        <v>#VALUE!</v>
      </c>
    </row>
    <row r="43" spans="2:11">
      <c r="B43" s="10">
        <f ca="1">IF(LoanIsGood,IF(ROW()-ROW(PaymentSchedule[[#Headers],[PMT NO]])&gt;ScheduledNumberOfPayments,"",ROW()-ROW(PaymentSchedule[[#Headers],[PMT NO]])),"")</f>
        <v>27</v>
      </c>
      <c r="C43" s="12">
        <f ca="1">IF(PaymentSchedule[[#This Row],[PMT NO]]&lt;&gt;"",EOMONTH(LoanStartDate,ROW(PaymentSchedule[[#This Row],[PMT NO]])-ROW(PaymentSchedule[[#Headers],[PMT NO]])-2)+DAY(LoanStartDate),"")</f>
        <v>46754</v>
      </c>
      <c r="D4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3" s="14">
        <f ca="1">IF(PaymentSchedule[[#This Row],[PMT NO]]&lt;&gt;"",ScheduledPayment,"")</f>
        <v>1073.6432460242781</v>
      </c>
      <c r="F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3" s="14" t="e">
        <f ca="1">IF(PaymentSchedule[[#This Row],[PMT NO]]&lt;&gt;"",PaymentSchedule[[#This Row],[TOTAL PAYMENT]]-PaymentSchedule[[#This Row],[INTEREST]],"")</f>
        <v>#VALUE!</v>
      </c>
      <c r="I43" s="14" t="e">
        <f ca="1">IF(PaymentSchedule[[#This Row],[PMT NO]]&lt;&gt;"",PaymentSchedule[[#This Row],[BEGINNING BALANCE]]*(InterestRate/PaymentsPerYear),"")</f>
        <v>#VALUE!</v>
      </c>
      <c r="J43" s="14" t="s">
        <v>32</v>
      </c>
      <c r="K43" s="14" t="e">
        <f ca="1">IF(PaymentSchedule[[#This Row],[PMT NO]]&lt;&gt;"",SUM(INDEX(PaymentSchedule[INTEREST],1,1):PaymentSchedule[[#This Row],[INTEREST]]),"")</f>
        <v>#VALUE!</v>
      </c>
    </row>
    <row r="44" spans="2:11">
      <c r="B44" s="10">
        <f ca="1">IF(LoanIsGood,IF(ROW()-ROW(PaymentSchedule[[#Headers],[PMT NO]])&gt;ScheduledNumberOfPayments,"",ROW()-ROW(PaymentSchedule[[#Headers],[PMT NO]])),"")</f>
        <v>28</v>
      </c>
      <c r="C44" s="12">
        <f ca="1">IF(PaymentSchedule[[#This Row],[PMT NO]]&lt;&gt;"",EOMONTH(LoanStartDate,ROW(PaymentSchedule[[#This Row],[PMT NO]])-ROW(PaymentSchedule[[#Headers],[PMT NO]])-2)+DAY(LoanStartDate),"")</f>
        <v>46785</v>
      </c>
      <c r="D4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4" s="14">
        <f ca="1">IF(PaymentSchedule[[#This Row],[PMT NO]]&lt;&gt;"",ScheduledPayment,"")</f>
        <v>1073.6432460242781</v>
      </c>
      <c r="F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4" s="14" t="e">
        <f ca="1">IF(PaymentSchedule[[#This Row],[PMT NO]]&lt;&gt;"",PaymentSchedule[[#This Row],[TOTAL PAYMENT]]-PaymentSchedule[[#This Row],[INTEREST]],"")</f>
        <v>#VALUE!</v>
      </c>
      <c r="I44" s="14" t="e">
        <f ca="1">IF(PaymentSchedule[[#This Row],[PMT NO]]&lt;&gt;"",PaymentSchedule[[#This Row],[BEGINNING BALANCE]]*(InterestRate/PaymentsPerYear),"")</f>
        <v>#VALUE!</v>
      </c>
      <c r="J44" s="14" t="s">
        <v>32</v>
      </c>
      <c r="K44" s="14" t="e">
        <f ca="1">IF(PaymentSchedule[[#This Row],[PMT NO]]&lt;&gt;"",SUM(INDEX(PaymentSchedule[INTEREST],1,1):PaymentSchedule[[#This Row],[INTEREST]]),"")</f>
        <v>#VALUE!</v>
      </c>
    </row>
    <row r="45" spans="2:11">
      <c r="B45" s="10">
        <f ca="1">IF(LoanIsGood,IF(ROW()-ROW(PaymentSchedule[[#Headers],[PMT NO]])&gt;ScheduledNumberOfPayments,"",ROW()-ROW(PaymentSchedule[[#Headers],[PMT NO]])),"")</f>
        <v>29</v>
      </c>
      <c r="C45" s="12">
        <f ca="1">IF(PaymentSchedule[[#This Row],[PMT NO]]&lt;&gt;"",EOMONTH(LoanStartDate,ROW(PaymentSchedule[[#This Row],[PMT NO]])-ROW(PaymentSchedule[[#Headers],[PMT NO]])-2)+DAY(LoanStartDate),"")</f>
        <v>46814</v>
      </c>
      <c r="D4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5" s="14">
        <f ca="1">IF(PaymentSchedule[[#This Row],[PMT NO]]&lt;&gt;"",ScheduledPayment,"")</f>
        <v>1073.6432460242781</v>
      </c>
      <c r="F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5" s="14" t="e">
        <f ca="1">IF(PaymentSchedule[[#This Row],[PMT NO]]&lt;&gt;"",PaymentSchedule[[#This Row],[TOTAL PAYMENT]]-PaymentSchedule[[#This Row],[INTEREST]],"")</f>
        <v>#VALUE!</v>
      </c>
      <c r="I45" s="14" t="e">
        <f ca="1">IF(PaymentSchedule[[#This Row],[PMT NO]]&lt;&gt;"",PaymentSchedule[[#This Row],[BEGINNING BALANCE]]*(InterestRate/PaymentsPerYear),"")</f>
        <v>#VALUE!</v>
      </c>
      <c r="J45" s="14" t="s">
        <v>32</v>
      </c>
      <c r="K45" s="14" t="e">
        <f ca="1">IF(PaymentSchedule[[#This Row],[PMT NO]]&lt;&gt;"",SUM(INDEX(PaymentSchedule[INTEREST],1,1):PaymentSchedule[[#This Row],[INTEREST]]),"")</f>
        <v>#VALUE!</v>
      </c>
    </row>
    <row r="46" spans="2:11">
      <c r="B46" s="10">
        <f ca="1">IF(LoanIsGood,IF(ROW()-ROW(PaymentSchedule[[#Headers],[PMT NO]])&gt;ScheduledNumberOfPayments,"",ROW()-ROW(PaymentSchedule[[#Headers],[PMT NO]])),"")</f>
        <v>30</v>
      </c>
      <c r="C46" s="12">
        <f ca="1">IF(PaymentSchedule[[#This Row],[PMT NO]]&lt;&gt;"",EOMONTH(LoanStartDate,ROW(PaymentSchedule[[#This Row],[PMT NO]])-ROW(PaymentSchedule[[#Headers],[PMT NO]])-2)+DAY(LoanStartDate),"")</f>
        <v>46845</v>
      </c>
      <c r="D4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6" s="14">
        <f ca="1">IF(PaymentSchedule[[#This Row],[PMT NO]]&lt;&gt;"",ScheduledPayment,"")</f>
        <v>1073.6432460242781</v>
      </c>
      <c r="F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6" s="14" t="e">
        <f ca="1">IF(PaymentSchedule[[#This Row],[PMT NO]]&lt;&gt;"",PaymentSchedule[[#This Row],[TOTAL PAYMENT]]-PaymentSchedule[[#This Row],[INTEREST]],"")</f>
        <v>#VALUE!</v>
      </c>
      <c r="I46" s="14" t="e">
        <f ca="1">IF(PaymentSchedule[[#This Row],[PMT NO]]&lt;&gt;"",PaymentSchedule[[#This Row],[BEGINNING BALANCE]]*(InterestRate/PaymentsPerYear),"")</f>
        <v>#VALUE!</v>
      </c>
      <c r="J46" s="14" t="s">
        <v>32</v>
      </c>
      <c r="K46" s="14" t="e">
        <f ca="1">IF(PaymentSchedule[[#This Row],[PMT NO]]&lt;&gt;"",SUM(INDEX(PaymentSchedule[INTEREST],1,1):PaymentSchedule[[#This Row],[INTEREST]]),"")</f>
        <v>#VALUE!</v>
      </c>
    </row>
    <row r="47" spans="2:11">
      <c r="B47" s="10">
        <f ca="1">IF(LoanIsGood,IF(ROW()-ROW(PaymentSchedule[[#Headers],[PMT NO]])&gt;ScheduledNumberOfPayments,"",ROW()-ROW(PaymentSchedule[[#Headers],[PMT NO]])),"")</f>
        <v>31</v>
      </c>
      <c r="C47" s="12">
        <f ca="1">IF(PaymentSchedule[[#This Row],[PMT NO]]&lt;&gt;"",EOMONTH(LoanStartDate,ROW(PaymentSchedule[[#This Row],[PMT NO]])-ROW(PaymentSchedule[[#Headers],[PMT NO]])-2)+DAY(LoanStartDate),"")</f>
        <v>46875</v>
      </c>
      <c r="D4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7" s="14">
        <f ca="1">IF(PaymentSchedule[[#This Row],[PMT NO]]&lt;&gt;"",ScheduledPayment,"")</f>
        <v>1073.6432460242781</v>
      </c>
      <c r="F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7" s="14" t="e">
        <f ca="1">IF(PaymentSchedule[[#This Row],[PMT NO]]&lt;&gt;"",PaymentSchedule[[#This Row],[TOTAL PAYMENT]]-PaymentSchedule[[#This Row],[INTEREST]],"")</f>
        <v>#VALUE!</v>
      </c>
      <c r="I47" s="14" t="e">
        <f ca="1">IF(PaymentSchedule[[#This Row],[PMT NO]]&lt;&gt;"",PaymentSchedule[[#This Row],[BEGINNING BALANCE]]*(InterestRate/PaymentsPerYear),"")</f>
        <v>#VALUE!</v>
      </c>
      <c r="J47" s="14" t="s">
        <v>32</v>
      </c>
      <c r="K47" s="14" t="e">
        <f ca="1">IF(PaymentSchedule[[#This Row],[PMT NO]]&lt;&gt;"",SUM(INDEX(PaymentSchedule[INTEREST],1,1):PaymentSchedule[[#This Row],[INTEREST]]),"")</f>
        <v>#VALUE!</v>
      </c>
    </row>
    <row r="48" spans="2:11">
      <c r="B48" s="10">
        <f ca="1">IF(LoanIsGood,IF(ROW()-ROW(PaymentSchedule[[#Headers],[PMT NO]])&gt;ScheduledNumberOfPayments,"",ROW()-ROW(PaymentSchedule[[#Headers],[PMT NO]])),"")</f>
        <v>32</v>
      </c>
      <c r="C48" s="12">
        <f ca="1">IF(PaymentSchedule[[#This Row],[PMT NO]]&lt;&gt;"",EOMONTH(LoanStartDate,ROW(PaymentSchedule[[#This Row],[PMT NO]])-ROW(PaymentSchedule[[#Headers],[PMT NO]])-2)+DAY(LoanStartDate),"")</f>
        <v>46906</v>
      </c>
      <c r="D4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8" s="14">
        <f ca="1">IF(PaymentSchedule[[#This Row],[PMT NO]]&lt;&gt;"",ScheduledPayment,"")</f>
        <v>1073.6432460242781</v>
      </c>
      <c r="F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8" s="14" t="e">
        <f ca="1">IF(PaymentSchedule[[#This Row],[PMT NO]]&lt;&gt;"",PaymentSchedule[[#This Row],[TOTAL PAYMENT]]-PaymentSchedule[[#This Row],[INTEREST]],"")</f>
        <v>#VALUE!</v>
      </c>
      <c r="I48" s="14" t="e">
        <f ca="1">IF(PaymentSchedule[[#This Row],[PMT NO]]&lt;&gt;"",PaymentSchedule[[#This Row],[BEGINNING BALANCE]]*(InterestRate/PaymentsPerYear),"")</f>
        <v>#VALUE!</v>
      </c>
      <c r="J48" s="14" t="s">
        <v>32</v>
      </c>
      <c r="K48" s="14" t="e">
        <f ca="1">IF(PaymentSchedule[[#This Row],[PMT NO]]&lt;&gt;"",SUM(INDEX(PaymentSchedule[INTEREST],1,1):PaymentSchedule[[#This Row],[INTEREST]]),"")</f>
        <v>#VALUE!</v>
      </c>
    </row>
    <row r="49" spans="2:11">
      <c r="B49" s="10">
        <f ca="1">IF(LoanIsGood,IF(ROW()-ROW(PaymentSchedule[[#Headers],[PMT NO]])&gt;ScheduledNumberOfPayments,"",ROW()-ROW(PaymentSchedule[[#Headers],[PMT NO]])),"")</f>
        <v>33</v>
      </c>
      <c r="C49" s="12">
        <f ca="1">IF(PaymentSchedule[[#This Row],[PMT NO]]&lt;&gt;"",EOMONTH(LoanStartDate,ROW(PaymentSchedule[[#This Row],[PMT NO]])-ROW(PaymentSchedule[[#Headers],[PMT NO]])-2)+DAY(LoanStartDate),"")</f>
        <v>46936</v>
      </c>
      <c r="D4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49" s="14">
        <f ca="1">IF(PaymentSchedule[[#This Row],[PMT NO]]&lt;&gt;"",ScheduledPayment,"")</f>
        <v>1073.6432460242781</v>
      </c>
      <c r="F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4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49" s="14" t="e">
        <f ca="1">IF(PaymentSchedule[[#This Row],[PMT NO]]&lt;&gt;"",PaymentSchedule[[#This Row],[TOTAL PAYMENT]]-PaymentSchedule[[#This Row],[INTEREST]],"")</f>
        <v>#VALUE!</v>
      </c>
      <c r="I49" s="14" t="e">
        <f ca="1">IF(PaymentSchedule[[#This Row],[PMT NO]]&lt;&gt;"",PaymentSchedule[[#This Row],[BEGINNING BALANCE]]*(InterestRate/PaymentsPerYear),"")</f>
        <v>#VALUE!</v>
      </c>
      <c r="J49" s="14" t="s">
        <v>32</v>
      </c>
      <c r="K49" s="14" t="e">
        <f ca="1">IF(PaymentSchedule[[#This Row],[PMT NO]]&lt;&gt;"",SUM(INDEX(PaymentSchedule[INTEREST],1,1):PaymentSchedule[[#This Row],[INTEREST]]),"")</f>
        <v>#VALUE!</v>
      </c>
    </row>
    <row r="50" spans="2:11">
      <c r="B50" s="10">
        <f ca="1">IF(LoanIsGood,IF(ROW()-ROW(PaymentSchedule[[#Headers],[PMT NO]])&gt;ScheduledNumberOfPayments,"",ROW()-ROW(PaymentSchedule[[#Headers],[PMT NO]])),"")</f>
        <v>34</v>
      </c>
      <c r="C50" s="12">
        <f ca="1">IF(PaymentSchedule[[#This Row],[PMT NO]]&lt;&gt;"",EOMONTH(LoanStartDate,ROW(PaymentSchedule[[#This Row],[PMT NO]])-ROW(PaymentSchedule[[#Headers],[PMT NO]])-2)+DAY(LoanStartDate),"")</f>
        <v>46967</v>
      </c>
      <c r="D5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0" s="14">
        <f ca="1">IF(PaymentSchedule[[#This Row],[PMT NO]]&lt;&gt;"",ScheduledPayment,"")</f>
        <v>1073.6432460242781</v>
      </c>
      <c r="F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0" s="14" t="e">
        <f ca="1">IF(PaymentSchedule[[#This Row],[PMT NO]]&lt;&gt;"",PaymentSchedule[[#This Row],[TOTAL PAYMENT]]-PaymentSchedule[[#This Row],[INTEREST]],"")</f>
        <v>#VALUE!</v>
      </c>
      <c r="I50" s="14" t="e">
        <f ca="1">IF(PaymentSchedule[[#This Row],[PMT NO]]&lt;&gt;"",PaymentSchedule[[#This Row],[BEGINNING BALANCE]]*(InterestRate/PaymentsPerYear),"")</f>
        <v>#VALUE!</v>
      </c>
      <c r="J50" s="14" t="s">
        <v>32</v>
      </c>
      <c r="K50" s="14" t="e">
        <f ca="1">IF(PaymentSchedule[[#This Row],[PMT NO]]&lt;&gt;"",SUM(INDEX(PaymentSchedule[INTEREST],1,1):PaymentSchedule[[#This Row],[INTEREST]]),"")</f>
        <v>#VALUE!</v>
      </c>
    </row>
    <row r="51" spans="2:11">
      <c r="B51" s="10">
        <f ca="1">IF(LoanIsGood,IF(ROW()-ROW(PaymentSchedule[[#Headers],[PMT NO]])&gt;ScheduledNumberOfPayments,"",ROW()-ROW(PaymentSchedule[[#Headers],[PMT NO]])),"")</f>
        <v>35</v>
      </c>
      <c r="C51" s="12">
        <f ca="1">IF(PaymentSchedule[[#This Row],[PMT NO]]&lt;&gt;"",EOMONTH(LoanStartDate,ROW(PaymentSchedule[[#This Row],[PMT NO]])-ROW(PaymentSchedule[[#Headers],[PMT NO]])-2)+DAY(LoanStartDate),"")</f>
        <v>46998</v>
      </c>
      <c r="D5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1" s="14">
        <f ca="1">IF(PaymentSchedule[[#This Row],[PMT NO]]&lt;&gt;"",ScheduledPayment,"")</f>
        <v>1073.6432460242781</v>
      </c>
      <c r="F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1" s="14" t="e">
        <f ca="1">IF(PaymentSchedule[[#This Row],[PMT NO]]&lt;&gt;"",PaymentSchedule[[#This Row],[TOTAL PAYMENT]]-PaymentSchedule[[#This Row],[INTEREST]],"")</f>
        <v>#VALUE!</v>
      </c>
      <c r="I51" s="14" t="e">
        <f ca="1">IF(PaymentSchedule[[#This Row],[PMT NO]]&lt;&gt;"",PaymentSchedule[[#This Row],[BEGINNING BALANCE]]*(InterestRate/PaymentsPerYear),"")</f>
        <v>#VALUE!</v>
      </c>
      <c r="J51" s="14" t="s">
        <v>32</v>
      </c>
      <c r="K51" s="14" t="e">
        <f ca="1">IF(PaymentSchedule[[#This Row],[PMT NO]]&lt;&gt;"",SUM(INDEX(PaymentSchedule[INTEREST],1,1):PaymentSchedule[[#This Row],[INTEREST]]),"")</f>
        <v>#VALUE!</v>
      </c>
    </row>
    <row r="52" spans="2:11">
      <c r="B52" s="10">
        <f ca="1">IF(LoanIsGood,IF(ROW()-ROW(PaymentSchedule[[#Headers],[PMT NO]])&gt;ScheduledNumberOfPayments,"",ROW()-ROW(PaymentSchedule[[#Headers],[PMT NO]])),"")</f>
        <v>36</v>
      </c>
      <c r="C52" s="12">
        <f ca="1">IF(PaymentSchedule[[#This Row],[PMT NO]]&lt;&gt;"",EOMONTH(LoanStartDate,ROW(PaymentSchedule[[#This Row],[PMT NO]])-ROW(PaymentSchedule[[#Headers],[PMT NO]])-2)+DAY(LoanStartDate),"")</f>
        <v>47028</v>
      </c>
      <c r="D5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2" s="14">
        <f ca="1">IF(PaymentSchedule[[#This Row],[PMT NO]]&lt;&gt;"",ScheduledPayment,"")</f>
        <v>1073.6432460242781</v>
      </c>
      <c r="F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2" s="14" t="e">
        <f ca="1">IF(PaymentSchedule[[#This Row],[PMT NO]]&lt;&gt;"",PaymentSchedule[[#This Row],[TOTAL PAYMENT]]-PaymentSchedule[[#This Row],[INTEREST]],"")</f>
        <v>#VALUE!</v>
      </c>
      <c r="I52" s="14" t="e">
        <f ca="1">IF(PaymentSchedule[[#This Row],[PMT NO]]&lt;&gt;"",PaymentSchedule[[#This Row],[BEGINNING BALANCE]]*(InterestRate/PaymentsPerYear),"")</f>
        <v>#VALUE!</v>
      </c>
      <c r="J52" s="14" t="s">
        <v>32</v>
      </c>
      <c r="K52" s="14" t="e">
        <f ca="1">IF(PaymentSchedule[[#This Row],[PMT NO]]&lt;&gt;"",SUM(INDEX(PaymentSchedule[INTEREST],1,1):PaymentSchedule[[#This Row],[INTEREST]]),"")</f>
        <v>#VALUE!</v>
      </c>
    </row>
    <row r="53" spans="2:11">
      <c r="B53" s="10">
        <f ca="1">IF(LoanIsGood,IF(ROW()-ROW(PaymentSchedule[[#Headers],[PMT NO]])&gt;ScheduledNumberOfPayments,"",ROW()-ROW(PaymentSchedule[[#Headers],[PMT NO]])),"")</f>
        <v>37</v>
      </c>
      <c r="C53" s="12">
        <f ca="1">IF(PaymentSchedule[[#This Row],[PMT NO]]&lt;&gt;"",EOMONTH(LoanStartDate,ROW(PaymentSchedule[[#This Row],[PMT NO]])-ROW(PaymentSchedule[[#Headers],[PMT NO]])-2)+DAY(LoanStartDate),"")</f>
        <v>47059</v>
      </c>
      <c r="D5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3" s="14">
        <f ca="1">IF(PaymentSchedule[[#This Row],[PMT NO]]&lt;&gt;"",ScheduledPayment,"")</f>
        <v>1073.6432460242781</v>
      </c>
      <c r="F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3" s="14" t="e">
        <f ca="1">IF(PaymentSchedule[[#This Row],[PMT NO]]&lt;&gt;"",PaymentSchedule[[#This Row],[TOTAL PAYMENT]]-PaymentSchedule[[#This Row],[INTEREST]],"")</f>
        <v>#VALUE!</v>
      </c>
      <c r="I53" s="14" t="e">
        <f ca="1">IF(PaymentSchedule[[#This Row],[PMT NO]]&lt;&gt;"",PaymentSchedule[[#This Row],[BEGINNING BALANCE]]*(InterestRate/PaymentsPerYear),"")</f>
        <v>#VALUE!</v>
      </c>
      <c r="J53" s="14" t="s">
        <v>32</v>
      </c>
      <c r="K53" s="14" t="e">
        <f ca="1">IF(PaymentSchedule[[#This Row],[PMT NO]]&lt;&gt;"",SUM(INDEX(PaymentSchedule[INTEREST],1,1):PaymentSchedule[[#This Row],[INTEREST]]),"")</f>
        <v>#VALUE!</v>
      </c>
    </row>
    <row r="54" spans="2:11">
      <c r="B54" s="10">
        <f ca="1">IF(LoanIsGood,IF(ROW()-ROW(PaymentSchedule[[#Headers],[PMT NO]])&gt;ScheduledNumberOfPayments,"",ROW()-ROW(PaymentSchedule[[#Headers],[PMT NO]])),"")</f>
        <v>38</v>
      </c>
      <c r="C54" s="12">
        <f ca="1">IF(PaymentSchedule[[#This Row],[PMT NO]]&lt;&gt;"",EOMONTH(LoanStartDate,ROW(PaymentSchedule[[#This Row],[PMT NO]])-ROW(PaymentSchedule[[#Headers],[PMT NO]])-2)+DAY(LoanStartDate),"")</f>
        <v>47089</v>
      </c>
      <c r="D5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4" s="14">
        <f ca="1">IF(PaymentSchedule[[#This Row],[PMT NO]]&lt;&gt;"",ScheduledPayment,"")</f>
        <v>1073.6432460242781</v>
      </c>
      <c r="F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4" s="14" t="e">
        <f ca="1">IF(PaymentSchedule[[#This Row],[PMT NO]]&lt;&gt;"",PaymentSchedule[[#This Row],[TOTAL PAYMENT]]-PaymentSchedule[[#This Row],[INTEREST]],"")</f>
        <v>#VALUE!</v>
      </c>
      <c r="I54" s="14" t="e">
        <f ca="1">IF(PaymentSchedule[[#This Row],[PMT NO]]&lt;&gt;"",PaymentSchedule[[#This Row],[BEGINNING BALANCE]]*(InterestRate/PaymentsPerYear),"")</f>
        <v>#VALUE!</v>
      </c>
      <c r="J54" s="14" t="s">
        <v>32</v>
      </c>
      <c r="K54" s="14" t="e">
        <f ca="1">IF(PaymentSchedule[[#This Row],[PMT NO]]&lt;&gt;"",SUM(INDEX(PaymentSchedule[INTEREST],1,1):PaymentSchedule[[#This Row],[INTEREST]]),"")</f>
        <v>#VALUE!</v>
      </c>
    </row>
    <row r="55" spans="2:11">
      <c r="B55" s="10">
        <f ca="1">IF(LoanIsGood,IF(ROW()-ROW(PaymentSchedule[[#Headers],[PMT NO]])&gt;ScheduledNumberOfPayments,"",ROW()-ROW(PaymentSchedule[[#Headers],[PMT NO]])),"")</f>
        <v>39</v>
      </c>
      <c r="C55" s="12">
        <f ca="1">IF(PaymentSchedule[[#This Row],[PMT NO]]&lt;&gt;"",EOMONTH(LoanStartDate,ROW(PaymentSchedule[[#This Row],[PMT NO]])-ROW(PaymentSchedule[[#Headers],[PMT NO]])-2)+DAY(LoanStartDate),"")</f>
        <v>47120</v>
      </c>
      <c r="D5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5" s="14">
        <f ca="1">IF(PaymentSchedule[[#This Row],[PMT NO]]&lt;&gt;"",ScheduledPayment,"")</f>
        <v>1073.6432460242781</v>
      </c>
      <c r="F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5" s="14" t="e">
        <f ca="1">IF(PaymentSchedule[[#This Row],[PMT NO]]&lt;&gt;"",PaymentSchedule[[#This Row],[TOTAL PAYMENT]]-PaymentSchedule[[#This Row],[INTEREST]],"")</f>
        <v>#VALUE!</v>
      </c>
      <c r="I55" s="14" t="e">
        <f ca="1">IF(PaymentSchedule[[#This Row],[PMT NO]]&lt;&gt;"",PaymentSchedule[[#This Row],[BEGINNING BALANCE]]*(InterestRate/PaymentsPerYear),"")</f>
        <v>#VALUE!</v>
      </c>
      <c r="J55" s="14" t="s">
        <v>32</v>
      </c>
      <c r="K55" s="14" t="e">
        <f ca="1">IF(PaymentSchedule[[#This Row],[PMT NO]]&lt;&gt;"",SUM(INDEX(PaymentSchedule[INTEREST],1,1):PaymentSchedule[[#This Row],[INTEREST]]),"")</f>
        <v>#VALUE!</v>
      </c>
    </row>
    <row r="56" spans="2:11">
      <c r="B56" s="10">
        <f ca="1">IF(LoanIsGood,IF(ROW()-ROW(PaymentSchedule[[#Headers],[PMT NO]])&gt;ScheduledNumberOfPayments,"",ROW()-ROW(PaymentSchedule[[#Headers],[PMT NO]])),"")</f>
        <v>40</v>
      </c>
      <c r="C56" s="12">
        <f ca="1">IF(PaymentSchedule[[#This Row],[PMT NO]]&lt;&gt;"",EOMONTH(LoanStartDate,ROW(PaymentSchedule[[#This Row],[PMT NO]])-ROW(PaymentSchedule[[#Headers],[PMT NO]])-2)+DAY(LoanStartDate),"")</f>
        <v>47151</v>
      </c>
      <c r="D5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6" s="14">
        <f ca="1">IF(PaymentSchedule[[#This Row],[PMT NO]]&lt;&gt;"",ScheduledPayment,"")</f>
        <v>1073.6432460242781</v>
      </c>
      <c r="F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6" s="14" t="e">
        <f ca="1">IF(PaymentSchedule[[#This Row],[PMT NO]]&lt;&gt;"",PaymentSchedule[[#This Row],[TOTAL PAYMENT]]-PaymentSchedule[[#This Row],[INTEREST]],"")</f>
        <v>#VALUE!</v>
      </c>
      <c r="I56" s="14" t="e">
        <f ca="1">IF(PaymentSchedule[[#This Row],[PMT NO]]&lt;&gt;"",PaymentSchedule[[#This Row],[BEGINNING BALANCE]]*(InterestRate/PaymentsPerYear),"")</f>
        <v>#VALUE!</v>
      </c>
      <c r="J56" s="14" t="s">
        <v>32</v>
      </c>
      <c r="K56" s="14" t="e">
        <f ca="1">IF(PaymentSchedule[[#This Row],[PMT NO]]&lt;&gt;"",SUM(INDEX(PaymentSchedule[INTEREST],1,1):PaymentSchedule[[#This Row],[INTEREST]]),"")</f>
        <v>#VALUE!</v>
      </c>
    </row>
    <row r="57" spans="2:11">
      <c r="B57" s="10">
        <f ca="1">IF(LoanIsGood,IF(ROW()-ROW(PaymentSchedule[[#Headers],[PMT NO]])&gt;ScheduledNumberOfPayments,"",ROW()-ROW(PaymentSchedule[[#Headers],[PMT NO]])),"")</f>
        <v>41</v>
      </c>
      <c r="C57" s="12">
        <f ca="1">IF(PaymentSchedule[[#This Row],[PMT NO]]&lt;&gt;"",EOMONTH(LoanStartDate,ROW(PaymentSchedule[[#This Row],[PMT NO]])-ROW(PaymentSchedule[[#Headers],[PMT NO]])-2)+DAY(LoanStartDate),"")</f>
        <v>47179</v>
      </c>
      <c r="D5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7" s="14">
        <f ca="1">IF(PaymentSchedule[[#This Row],[PMT NO]]&lt;&gt;"",ScheduledPayment,"")</f>
        <v>1073.6432460242781</v>
      </c>
      <c r="F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7" s="14" t="e">
        <f ca="1">IF(PaymentSchedule[[#This Row],[PMT NO]]&lt;&gt;"",PaymentSchedule[[#This Row],[TOTAL PAYMENT]]-PaymentSchedule[[#This Row],[INTEREST]],"")</f>
        <v>#VALUE!</v>
      </c>
      <c r="I57" s="14" t="e">
        <f ca="1">IF(PaymentSchedule[[#This Row],[PMT NO]]&lt;&gt;"",PaymentSchedule[[#This Row],[BEGINNING BALANCE]]*(InterestRate/PaymentsPerYear),"")</f>
        <v>#VALUE!</v>
      </c>
      <c r="J57" s="14" t="s">
        <v>32</v>
      </c>
      <c r="K57" s="14" t="e">
        <f ca="1">IF(PaymentSchedule[[#This Row],[PMT NO]]&lt;&gt;"",SUM(INDEX(PaymentSchedule[INTEREST],1,1):PaymentSchedule[[#This Row],[INTEREST]]),"")</f>
        <v>#VALUE!</v>
      </c>
    </row>
    <row r="58" spans="2:11">
      <c r="B58" s="10">
        <f ca="1">IF(LoanIsGood,IF(ROW()-ROW(PaymentSchedule[[#Headers],[PMT NO]])&gt;ScheduledNumberOfPayments,"",ROW()-ROW(PaymentSchedule[[#Headers],[PMT NO]])),"")</f>
        <v>42</v>
      </c>
      <c r="C58" s="12">
        <f ca="1">IF(PaymentSchedule[[#This Row],[PMT NO]]&lt;&gt;"",EOMONTH(LoanStartDate,ROW(PaymentSchedule[[#This Row],[PMT NO]])-ROW(PaymentSchedule[[#Headers],[PMT NO]])-2)+DAY(LoanStartDate),"")</f>
        <v>47210</v>
      </c>
      <c r="D5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8" s="14">
        <f ca="1">IF(PaymentSchedule[[#This Row],[PMT NO]]&lt;&gt;"",ScheduledPayment,"")</f>
        <v>1073.6432460242781</v>
      </c>
      <c r="F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8" s="14" t="e">
        <f ca="1">IF(PaymentSchedule[[#This Row],[PMT NO]]&lt;&gt;"",PaymentSchedule[[#This Row],[TOTAL PAYMENT]]-PaymentSchedule[[#This Row],[INTEREST]],"")</f>
        <v>#VALUE!</v>
      </c>
      <c r="I58" s="14" t="e">
        <f ca="1">IF(PaymentSchedule[[#This Row],[PMT NO]]&lt;&gt;"",PaymentSchedule[[#This Row],[BEGINNING BALANCE]]*(InterestRate/PaymentsPerYear),"")</f>
        <v>#VALUE!</v>
      </c>
      <c r="J58" s="14" t="s">
        <v>32</v>
      </c>
      <c r="K58" s="14" t="e">
        <f ca="1">IF(PaymentSchedule[[#This Row],[PMT NO]]&lt;&gt;"",SUM(INDEX(PaymentSchedule[INTEREST],1,1):PaymentSchedule[[#This Row],[INTEREST]]),"")</f>
        <v>#VALUE!</v>
      </c>
    </row>
    <row r="59" spans="2:11">
      <c r="B59" s="10">
        <f ca="1">IF(LoanIsGood,IF(ROW()-ROW(PaymentSchedule[[#Headers],[PMT NO]])&gt;ScheduledNumberOfPayments,"",ROW()-ROW(PaymentSchedule[[#Headers],[PMT NO]])),"")</f>
        <v>43</v>
      </c>
      <c r="C59" s="12">
        <f ca="1">IF(PaymentSchedule[[#This Row],[PMT NO]]&lt;&gt;"",EOMONTH(LoanStartDate,ROW(PaymentSchedule[[#This Row],[PMT NO]])-ROW(PaymentSchedule[[#Headers],[PMT NO]])-2)+DAY(LoanStartDate),"")</f>
        <v>47240</v>
      </c>
      <c r="D5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59" s="14">
        <f ca="1">IF(PaymentSchedule[[#This Row],[PMT NO]]&lt;&gt;"",ScheduledPayment,"")</f>
        <v>1073.6432460242781</v>
      </c>
      <c r="F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5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59" s="14" t="e">
        <f ca="1">IF(PaymentSchedule[[#This Row],[PMT NO]]&lt;&gt;"",PaymentSchedule[[#This Row],[TOTAL PAYMENT]]-PaymentSchedule[[#This Row],[INTEREST]],"")</f>
        <v>#VALUE!</v>
      </c>
      <c r="I59" s="14" t="e">
        <f ca="1">IF(PaymentSchedule[[#This Row],[PMT NO]]&lt;&gt;"",PaymentSchedule[[#This Row],[BEGINNING BALANCE]]*(InterestRate/PaymentsPerYear),"")</f>
        <v>#VALUE!</v>
      </c>
      <c r="J59" s="14" t="s">
        <v>32</v>
      </c>
      <c r="K59" s="14" t="e">
        <f ca="1">IF(PaymentSchedule[[#This Row],[PMT NO]]&lt;&gt;"",SUM(INDEX(PaymentSchedule[INTEREST],1,1):PaymentSchedule[[#This Row],[INTEREST]]),"")</f>
        <v>#VALUE!</v>
      </c>
    </row>
    <row r="60" spans="2:11">
      <c r="B60" s="10">
        <f ca="1">IF(LoanIsGood,IF(ROW()-ROW(PaymentSchedule[[#Headers],[PMT NO]])&gt;ScheduledNumberOfPayments,"",ROW()-ROW(PaymentSchedule[[#Headers],[PMT NO]])),"")</f>
        <v>44</v>
      </c>
      <c r="C60" s="12">
        <f ca="1">IF(PaymentSchedule[[#This Row],[PMT NO]]&lt;&gt;"",EOMONTH(LoanStartDate,ROW(PaymentSchedule[[#This Row],[PMT NO]])-ROW(PaymentSchedule[[#Headers],[PMT NO]])-2)+DAY(LoanStartDate),"")</f>
        <v>47271</v>
      </c>
      <c r="D6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0" s="14">
        <f ca="1">IF(PaymentSchedule[[#This Row],[PMT NO]]&lt;&gt;"",ScheduledPayment,"")</f>
        <v>1073.6432460242781</v>
      </c>
      <c r="F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0" s="14" t="e">
        <f ca="1">IF(PaymentSchedule[[#This Row],[PMT NO]]&lt;&gt;"",PaymentSchedule[[#This Row],[TOTAL PAYMENT]]-PaymentSchedule[[#This Row],[INTEREST]],"")</f>
        <v>#VALUE!</v>
      </c>
      <c r="I60" s="14" t="e">
        <f ca="1">IF(PaymentSchedule[[#This Row],[PMT NO]]&lt;&gt;"",PaymentSchedule[[#This Row],[BEGINNING BALANCE]]*(InterestRate/PaymentsPerYear),"")</f>
        <v>#VALUE!</v>
      </c>
      <c r="J60" s="14" t="s">
        <v>32</v>
      </c>
      <c r="K60" s="14" t="e">
        <f ca="1">IF(PaymentSchedule[[#This Row],[PMT NO]]&lt;&gt;"",SUM(INDEX(PaymentSchedule[INTEREST],1,1):PaymentSchedule[[#This Row],[INTEREST]]),"")</f>
        <v>#VALUE!</v>
      </c>
    </row>
    <row r="61" spans="2:11">
      <c r="B61" s="10">
        <f ca="1">IF(LoanIsGood,IF(ROW()-ROW(PaymentSchedule[[#Headers],[PMT NO]])&gt;ScheduledNumberOfPayments,"",ROW()-ROW(PaymentSchedule[[#Headers],[PMT NO]])),"")</f>
        <v>45</v>
      </c>
      <c r="C61" s="12">
        <f ca="1">IF(PaymentSchedule[[#This Row],[PMT NO]]&lt;&gt;"",EOMONTH(LoanStartDate,ROW(PaymentSchedule[[#This Row],[PMT NO]])-ROW(PaymentSchedule[[#Headers],[PMT NO]])-2)+DAY(LoanStartDate),"")</f>
        <v>47301</v>
      </c>
      <c r="D6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1" s="14">
        <f ca="1">IF(PaymentSchedule[[#This Row],[PMT NO]]&lt;&gt;"",ScheduledPayment,"")</f>
        <v>1073.6432460242781</v>
      </c>
      <c r="F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1" s="14" t="e">
        <f ca="1">IF(PaymentSchedule[[#This Row],[PMT NO]]&lt;&gt;"",PaymentSchedule[[#This Row],[TOTAL PAYMENT]]-PaymentSchedule[[#This Row],[INTEREST]],"")</f>
        <v>#VALUE!</v>
      </c>
      <c r="I61" s="14" t="e">
        <f ca="1">IF(PaymentSchedule[[#This Row],[PMT NO]]&lt;&gt;"",PaymentSchedule[[#This Row],[BEGINNING BALANCE]]*(InterestRate/PaymentsPerYear),"")</f>
        <v>#VALUE!</v>
      </c>
      <c r="J61" s="14" t="s">
        <v>32</v>
      </c>
      <c r="K61" s="14" t="e">
        <f ca="1">IF(PaymentSchedule[[#This Row],[PMT NO]]&lt;&gt;"",SUM(INDEX(PaymentSchedule[INTEREST],1,1):PaymentSchedule[[#This Row],[INTEREST]]),"")</f>
        <v>#VALUE!</v>
      </c>
    </row>
    <row r="62" spans="2:11">
      <c r="B62" s="10">
        <f ca="1">IF(LoanIsGood,IF(ROW()-ROW(PaymentSchedule[[#Headers],[PMT NO]])&gt;ScheduledNumberOfPayments,"",ROW()-ROW(PaymentSchedule[[#Headers],[PMT NO]])),"")</f>
        <v>46</v>
      </c>
      <c r="C62" s="12">
        <f ca="1">IF(PaymentSchedule[[#This Row],[PMT NO]]&lt;&gt;"",EOMONTH(LoanStartDate,ROW(PaymentSchedule[[#This Row],[PMT NO]])-ROW(PaymentSchedule[[#Headers],[PMT NO]])-2)+DAY(LoanStartDate),"")</f>
        <v>47332</v>
      </c>
      <c r="D6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2" s="14">
        <f ca="1">IF(PaymentSchedule[[#This Row],[PMT NO]]&lt;&gt;"",ScheduledPayment,"")</f>
        <v>1073.6432460242781</v>
      </c>
      <c r="F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2" s="14" t="e">
        <f ca="1">IF(PaymentSchedule[[#This Row],[PMT NO]]&lt;&gt;"",PaymentSchedule[[#This Row],[TOTAL PAYMENT]]-PaymentSchedule[[#This Row],[INTEREST]],"")</f>
        <v>#VALUE!</v>
      </c>
      <c r="I62" s="14" t="e">
        <f ca="1">IF(PaymentSchedule[[#This Row],[PMT NO]]&lt;&gt;"",PaymentSchedule[[#This Row],[BEGINNING BALANCE]]*(InterestRate/PaymentsPerYear),"")</f>
        <v>#VALUE!</v>
      </c>
      <c r="J62" s="14" t="s">
        <v>32</v>
      </c>
      <c r="K62" s="14" t="e">
        <f ca="1">IF(PaymentSchedule[[#This Row],[PMT NO]]&lt;&gt;"",SUM(INDEX(PaymentSchedule[INTEREST],1,1):PaymentSchedule[[#This Row],[INTEREST]]),"")</f>
        <v>#VALUE!</v>
      </c>
    </row>
    <row r="63" spans="2:11">
      <c r="B63" s="10">
        <f ca="1">IF(LoanIsGood,IF(ROW()-ROW(PaymentSchedule[[#Headers],[PMT NO]])&gt;ScheduledNumberOfPayments,"",ROW()-ROW(PaymentSchedule[[#Headers],[PMT NO]])),"")</f>
        <v>47</v>
      </c>
      <c r="C63" s="12">
        <f ca="1">IF(PaymentSchedule[[#This Row],[PMT NO]]&lt;&gt;"",EOMONTH(LoanStartDate,ROW(PaymentSchedule[[#This Row],[PMT NO]])-ROW(PaymentSchedule[[#Headers],[PMT NO]])-2)+DAY(LoanStartDate),"")</f>
        <v>47363</v>
      </c>
      <c r="D6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3" s="14">
        <f ca="1">IF(PaymentSchedule[[#This Row],[PMT NO]]&lt;&gt;"",ScheduledPayment,"")</f>
        <v>1073.6432460242781</v>
      </c>
      <c r="F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3" s="14" t="e">
        <f ca="1">IF(PaymentSchedule[[#This Row],[PMT NO]]&lt;&gt;"",PaymentSchedule[[#This Row],[TOTAL PAYMENT]]-PaymentSchedule[[#This Row],[INTEREST]],"")</f>
        <v>#VALUE!</v>
      </c>
      <c r="I63" s="14" t="e">
        <f ca="1">IF(PaymentSchedule[[#This Row],[PMT NO]]&lt;&gt;"",PaymentSchedule[[#This Row],[BEGINNING BALANCE]]*(InterestRate/PaymentsPerYear),"")</f>
        <v>#VALUE!</v>
      </c>
      <c r="J63" s="14" t="s">
        <v>32</v>
      </c>
      <c r="K63" s="14" t="e">
        <f ca="1">IF(PaymentSchedule[[#This Row],[PMT NO]]&lt;&gt;"",SUM(INDEX(PaymentSchedule[INTEREST],1,1):PaymentSchedule[[#This Row],[INTEREST]]),"")</f>
        <v>#VALUE!</v>
      </c>
    </row>
    <row r="64" spans="2:11">
      <c r="B64" s="10">
        <f ca="1">IF(LoanIsGood,IF(ROW()-ROW(PaymentSchedule[[#Headers],[PMT NO]])&gt;ScheduledNumberOfPayments,"",ROW()-ROW(PaymentSchedule[[#Headers],[PMT NO]])),"")</f>
        <v>48</v>
      </c>
      <c r="C64" s="12">
        <f ca="1">IF(PaymentSchedule[[#This Row],[PMT NO]]&lt;&gt;"",EOMONTH(LoanStartDate,ROW(PaymentSchedule[[#This Row],[PMT NO]])-ROW(PaymentSchedule[[#Headers],[PMT NO]])-2)+DAY(LoanStartDate),"")</f>
        <v>47393</v>
      </c>
      <c r="D6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4" s="14">
        <f ca="1">IF(PaymentSchedule[[#This Row],[PMT NO]]&lt;&gt;"",ScheduledPayment,"")</f>
        <v>1073.6432460242781</v>
      </c>
      <c r="F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4" s="14" t="e">
        <f ca="1">IF(PaymentSchedule[[#This Row],[PMT NO]]&lt;&gt;"",PaymentSchedule[[#This Row],[TOTAL PAYMENT]]-PaymentSchedule[[#This Row],[INTEREST]],"")</f>
        <v>#VALUE!</v>
      </c>
      <c r="I64" s="14" t="e">
        <f ca="1">IF(PaymentSchedule[[#This Row],[PMT NO]]&lt;&gt;"",PaymentSchedule[[#This Row],[BEGINNING BALANCE]]*(InterestRate/PaymentsPerYear),"")</f>
        <v>#VALUE!</v>
      </c>
      <c r="J64" s="14" t="s">
        <v>32</v>
      </c>
      <c r="K64" s="14" t="e">
        <f ca="1">IF(PaymentSchedule[[#This Row],[PMT NO]]&lt;&gt;"",SUM(INDEX(PaymentSchedule[INTEREST],1,1):PaymentSchedule[[#This Row],[INTEREST]]),"")</f>
        <v>#VALUE!</v>
      </c>
    </row>
    <row r="65" spans="2:11">
      <c r="B65" s="10">
        <f ca="1">IF(LoanIsGood,IF(ROW()-ROW(PaymentSchedule[[#Headers],[PMT NO]])&gt;ScheduledNumberOfPayments,"",ROW()-ROW(PaymentSchedule[[#Headers],[PMT NO]])),"")</f>
        <v>49</v>
      </c>
      <c r="C65" s="12">
        <f ca="1">IF(PaymentSchedule[[#This Row],[PMT NO]]&lt;&gt;"",EOMONTH(LoanStartDate,ROW(PaymentSchedule[[#This Row],[PMT NO]])-ROW(PaymentSchedule[[#Headers],[PMT NO]])-2)+DAY(LoanStartDate),"")</f>
        <v>47424</v>
      </c>
      <c r="D6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5" s="14">
        <f ca="1">IF(PaymentSchedule[[#This Row],[PMT NO]]&lt;&gt;"",ScheduledPayment,"")</f>
        <v>1073.6432460242781</v>
      </c>
      <c r="F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5" s="14" t="e">
        <f ca="1">IF(PaymentSchedule[[#This Row],[PMT NO]]&lt;&gt;"",PaymentSchedule[[#This Row],[TOTAL PAYMENT]]-PaymentSchedule[[#This Row],[INTEREST]],"")</f>
        <v>#VALUE!</v>
      </c>
      <c r="I65" s="14" t="e">
        <f ca="1">IF(PaymentSchedule[[#This Row],[PMT NO]]&lt;&gt;"",PaymentSchedule[[#This Row],[BEGINNING BALANCE]]*(InterestRate/PaymentsPerYear),"")</f>
        <v>#VALUE!</v>
      </c>
      <c r="J65" s="14" t="s">
        <v>32</v>
      </c>
      <c r="K65" s="14" t="e">
        <f ca="1">IF(PaymentSchedule[[#This Row],[PMT NO]]&lt;&gt;"",SUM(INDEX(PaymentSchedule[INTEREST],1,1):PaymentSchedule[[#This Row],[INTEREST]]),"")</f>
        <v>#VALUE!</v>
      </c>
    </row>
    <row r="66" spans="2:11">
      <c r="B66" s="10">
        <f ca="1">IF(LoanIsGood,IF(ROW()-ROW(PaymentSchedule[[#Headers],[PMT NO]])&gt;ScheduledNumberOfPayments,"",ROW()-ROW(PaymentSchedule[[#Headers],[PMT NO]])),"")</f>
        <v>50</v>
      </c>
      <c r="C66" s="12">
        <f ca="1">IF(PaymentSchedule[[#This Row],[PMT NO]]&lt;&gt;"",EOMONTH(LoanStartDate,ROW(PaymentSchedule[[#This Row],[PMT NO]])-ROW(PaymentSchedule[[#Headers],[PMT NO]])-2)+DAY(LoanStartDate),"")</f>
        <v>47454</v>
      </c>
      <c r="D6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6" s="14">
        <f ca="1">IF(PaymentSchedule[[#This Row],[PMT NO]]&lt;&gt;"",ScheduledPayment,"")</f>
        <v>1073.6432460242781</v>
      </c>
      <c r="F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6" s="14" t="e">
        <f ca="1">IF(PaymentSchedule[[#This Row],[PMT NO]]&lt;&gt;"",PaymentSchedule[[#This Row],[TOTAL PAYMENT]]-PaymentSchedule[[#This Row],[INTEREST]],"")</f>
        <v>#VALUE!</v>
      </c>
      <c r="I66" s="14" t="e">
        <f ca="1">IF(PaymentSchedule[[#This Row],[PMT NO]]&lt;&gt;"",PaymentSchedule[[#This Row],[BEGINNING BALANCE]]*(InterestRate/PaymentsPerYear),"")</f>
        <v>#VALUE!</v>
      </c>
      <c r="J66" s="14" t="s">
        <v>32</v>
      </c>
      <c r="K66" s="14" t="e">
        <f ca="1">IF(PaymentSchedule[[#This Row],[PMT NO]]&lt;&gt;"",SUM(INDEX(PaymentSchedule[INTEREST],1,1):PaymentSchedule[[#This Row],[INTEREST]]),"")</f>
        <v>#VALUE!</v>
      </c>
    </row>
    <row r="67" spans="2:11">
      <c r="B67" s="10">
        <f ca="1">IF(LoanIsGood,IF(ROW()-ROW(PaymentSchedule[[#Headers],[PMT NO]])&gt;ScheduledNumberOfPayments,"",ROW()-ROW(PaymentSchedule[[#Headers],[PMT NO]])),"")</f>
        <v>51</v>
      </c>
      <c r="C67" s="12">
        <f ca="1">IF(PaymentSchedule[[#This Row],[PMT NO]]&lt;&gt;"",EOMONTH(LoanStartDate,ROW(PaymentSchedule[[#This Row],[PMT NO]])-ROW(PaymentSchedule[[#Headers],[PMT NO]])-2)+DAY(LoanStartDate),"")</f>
        <v>47485</v>
      </c>
      <c r="D6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7" s="14">
        <f ca="1">IF(PaymentSchedule[[#This Row],[PMT NO]]&lt;&gt;"",ScheduledPayment,"")</f>
        <v>1073.6432460242781</v>
      </c>
      <c r="F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7" s="14" t="e">
        <f ca="1">IF(PaymentSchedule[[#This Row],[PMT NO]]&lt;&gt;"",PaymentSchedule[[#This Row],[TOTAL PAYMENT]]-PaymentSchedule[[#This Row],[INTEREST]],"")</f>
        <v>#VALUE!</v>
      </c>
      <c r="I67" s="14" t="e">
        <f ca="1">IF(PaymentSchedule[[#This Row],[PMT NO]]&lt;&gt;"",PaymentSchedule[[#This Row],[BEGINNING BALANCE]]*(InterestRate/PaymentsPerYear),"")</f>
        <v>#VALUE!</v>
      </c>
      <c r="J67" s="14" t="s">
        <v>32</v>
      </c>
      <c r="K67" s="14" t="e">
        <f ca="1">IF(PaymentSchedule[[#This Row],[PMT NO]]&lt;&gt;"",SUM(INDEX(PaymentSchedule[INTEREST],1,1):PaymentSchedule[[#This Row],[INTEREST]]),"")</f>
        <v>#VALUE!</v>
      </c>
    </row>
    <row r="68" spans="2:11">
      <c r="B68" s="10">
        <f ca="1">IF(LoanIsGood,IF(ROW()-ROW(PaymentSchedule[[#Headers],[PMT NO]])&gt;ScheduledNumberOfPayments,"",ROW()-ROW(PaymentSchedule[[#Headers],[PMT NO]])),"")</f>
        <v>52</v>
      </c>
      <c r="C68" s="12">
        <f ca="1">IF(PaymentSchedule[[#This Row],[PMT NO]]&lt;&gt;"",EOMONTH(LoanStartDate,ROW(PaymentSchedule[[#This Row],[PMT NO]])-ROW(PaymentSchedule[[#Headers],[PMT NO]])-2)+DAY(LoanStartDate),"")</f>
        <v>47516</v>
      </c>
      <c r="D6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8" s="14">
        <f ca="1">IF(PaymentSchedule[[#This Row],[PMT NO]]&lt;&gt;"",ScheduledPayment,"")</f>
        <v>1073.6432460242781</v>
      </c>
      <c r="F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8" s="14" t="e">
        <f ca="1">IF(PaymentSchedule[[#This Row],[PMT NO]]&lt;&gt;"",PaymentSchedule[[#This Row],[TOTAL PAYMENT]]-PaymentSchedule[[#This Row],[INTEREST]],"")</f>
        <v>#VALUE!</v>
      </c>
      <c r="I68" s="14" t="e">
        <f ca="1">IF(PaymentSchedule[[#This Row],[PMT NO]]&lt;&gt;"",PaymentSchedule[[#This Row],[BEGINNING BALANCE]]*(InterestRate/PaymentsPerYear),"")</f>
        <v>#VALUE!</v>
      </c>
      <c r="J68" s="14" t="s">
        <v>32</v>
      </c>
      <c r="K68" s="14" t="e">
        <f ca="1">IF(PaymentSchedule[[#This Row],[PMT NO]]&lt;&gt;"",SUM(INDEX(PaymentSchedule[INTEREST],1,1):PaymentSchedule[[#This Row],[INTEREST]]),"")</f>
        <v>#VALUE!</v>
      </c>
    </row>
    <row r="69" spans="2:11">
      <c r="B69" s="10">
        <f ca="1">IF(LoanIsGood,IF(ROW()-ROW(PaymentSchedule[[#Headers],[PMT NO]])&gt;ScheduledNumberOfPayments,"",ROW()-ROW(PaymentSchedule[[#Headers],[PMT NO]])),"")</f>
        <v>53</v>
      </c>
      <c r="C69" s="12">
        <f ca="1">IF(PaymentSchedule[[#This Row],[PMT NO]]&lt;&gt;"",EOMONTH(LoanStartDate,ROW(PaymentSchedule[[#This Row],[PMT NO]])-ROW(PaymentSchedule[[#Headers],[PMT NO]])-2)+DAY(LoanStartDate),"")</f>
        <v>47544</v>
      </c>
      <c r="D6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69" s="14">
        <f ca="1">IF(PaymentSchedule[[#This Row],[PMT NO]]&lt;&gt;"",ScheduledPayment,"")</f>
        <v>1073.6432460242781</v>
      </c>
      <c r="F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6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69" s="14" t="e">
        <f ca="1">IF(PaymentSchedule[[#This Row],[PMT NO]]&lt;&gt;"",PaymentSchedule[[#This Row],[TOTAL PAYMENT]]-PaymentSchedule[[#This Row],[INTEREST]],"")</f>
        <v>#VALUE!</v>
      </c>
      <c r="I69" s="14" t="e">
        <f ca="1">IF(PaymentSchedule[[#This Row],[PMT NO]]&lt;&gt;"",PaymentSchedule[[#This Row],[BEGINNING BALANCE]]*(InterestRate/PaymentsPerYear),"")</f>
        <v>#VALUE!</v>
      </c>
      <c r="J69" s="14" t="s">
        <v>32</v>
      </c>
      <c r="K69" s="14" t="e">
        <f ca="1">IF(PaymentSchedule[[#This Row],[PMT NO]]&lt;&gt;"",SUM(INDEX(PaymentSchedule[INTEREST],1,1):PaymentSchedule[[#This Row],[INTEREST]]),"")</f>
        <v>#VALUE!</v>
      </c>
    </row>
    <row r="70" spans="2:11">
      <c r="B70" s="10">
        <f ca="1">IF(LoanIsGood,IF(ROW()-ROW(PaymentSchedule[[#Headers],[PMT NO]])&gt;ScheduledNumberOfPayments,"",ROW()-ROW(PaymentSchedule[[#Headers],[PMT NO]])),"")</f>
        <v>54</v>
      </c>
      <c r="C70" s="12">
        <f ca="1">IF(PaymentSchedule[[#This Row],[PMT NO]]&lt;&gt;"",EOMONTH(LoanStartDate,ROW(PaymentSchedule[[#This Row],[PMT NO]])-ROW(PaymentSchedule[[#Headers],[PMT NO]])-2)+DAY(LoanStartDate),"")</f>
        <v>47575</v>
      </c>
      <c r="D7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0" s="14">
        <f ca="1">IF(PaymentSchedule[[#This Row],[PMT NO]]&lt;&gt;"",ScheduledPayment,"")</f>
        <v>1073.6432460242781</v>
      </c>
      <c r="F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0" s="14" t="e">
        <f ca="1">IF(PaymentSchedule[[#This Row],[PMT NO]]&lt;&gt;"",PaymentSchedule[[#This Row],[TOTAL PAYMENT]]-PaymentSchedule[[#This Row],[INTEREST]],"")</f>
        <v>#VALUE!</v>
      </c>
      <c r="I70" s="14" t="e">
        <f ca="1">IF(PaymentSchedule[[#This Row],[PMT NO]]&lt;&gt;"",PaymentSchedule[[#This Row],[BEGINNING BALANCE]]*(InterestRate/PaymentsPerYear),"")</f>
        <v>#VALUE!</v>
      </c>
      <c r="J70" s="14" t="s">
        <v>32</v>
      </c>
      <c r="K70" s="14" t="e">
        <f ca="1">IF(PaymentSchedule[[#This Row],[PMT NO]]&lt;&gt;"",SUM(INDEX(PaymentSchedule[INTEREST],1,1):PaymentSchedule[[#This Row],[INTEREST]]),"")</f>
        <v>#VALUE!</v>
      </c>
    </row>
    <row r="71" spans="2:11">
      <c r="B71" s="10">
        <f ca="1">IF(LoanIsGood,IF(ROW()-ROW(PaymentSchedule[[#Headers],[PMT NO]])&gt;ScheduledNumberOfPayments,"",ROW()-ROW(PaymentSchedule[[#Headers],[PMT NO]])),"")</f>
        <v>55</v>
      </c>
      <c r="C71" s="12">
        <f ca="1">IF(PaymentSchedule[[#This Row],[PMT NO]]&lt;&gt;"",EOMONTH(LoanStartDate,ROW(PaymentSchedule[[#This Row],[PMT NO]])-ROW(PaymentSchedule[[#Headers],[PMT NO]])-2)+DAY(LoanStartDate),"")</f>
        <v>47605</v>
      </c>
      <c r="D7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1" s="14">
        <f ca="1">IF(PaymentSchedule[[#This Row],[PMT NO]]&lt;&gt;"",ScheduledPayment,"")</f>
        <v>1073.6432460242781</v>
      </c>
      <c r="F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1" s="14" t="e">
        <f ca="1">IF(PaymentSchedule[[#This Row],[PMT NO]]&lt;&gt;"",PaymentSchedule[[#This Row],[TOTAL PAYMENT]]-PaymentSchedule[[#This Row],[INTEREST]],"")</f>
        <v>#VALUE!</v>
      </c>
      <c r="I71" s="14" t="e">
        <f ca="1">IF(PaymentSchedule[[#This Row],[PMT NO]]&lt;&gt;"",PaymentSchedule[[#This Row],[BEGINNING BALANCE]]*(InterestRate/PaymentsPerYear),"")</f>
        <v>#VALUE!</v>
      </c>
      <c r="J71" s="14" t="s">
        <v>32</v>
      </c>
      <c r="K71" s="14" t="e">
        <f ca="1">IF(PaymentSchedule[[#This Row],[PMT NO]]&lt;&gt;"",SUM(INDEX(PaymentSchedule[INTEREST],1,1):PaymentSchedule[[#This Row],[INTEREST]]),"")</f>
        <v>#VALUE!</v>
      </c>
    </row>
    <row r="72" spans="2:11">
      <c r="B72" s="10">
        <f ca="1">IF(LoanIsGood,IF(ROW()-ROW(PaymentSchedule[[#Headers],[PMT NO]])&gt;ScheduledNumberOfPayments,"",ROW()-ROW(PaymentSchedule[[#Headers],[PMT NO]])),"")</f>
        <v>56</v>
      </c>
      <c r="C72" s="12">
        <f ca="1">IF(PaymentSchedule[[#This Row],[PMT NO]]&lt;&gt;"",EOMONTH(LoanStartDate,ROW(PaymentSchedule[[#This Row],[PMT NO]])-ROW(PaymentSchedule[[#Headers],[PMT NO]])-2)+DAY(LoanStartDate),"")</f>
        <v>47636</v>
      </c>
      <c r="D7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2" s="14">
        <f ca="1">IF(PaymentSchedule[[#This Row],[PMT NO]]&lt;&gt;"",ScheduledPayment,"")</f>
        <v>1073.6432460242781</v>
      </c>
      <c r="F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2" s="14" t="e">
        <f ca="1">IF(PaymentSchedule[[#This Row],[PMT NO]]&lt;&gt;"",PaymentSchedule[[#This Row],[TOTAL PAYMENT]]-PaymentSchedule[[#This Row],[INTEREST]],"")</f>
        <v>#VALUE!</v>
      </c>
      <c r="I72" s="14" t="e">
        <f ca="1">IF(PaymentSchedule[[#This Row],[PMT NO]]&lt;&gt;"",PaymentSchedule[[#This Row],[BEGINNING BALANCE]]*(InterestRate/PaymentsPerYear),"")</f>
        <v>#VALUE!</v>
      </c>
      <c r="J72" s="14" t="s">
        <v>32</v>
      </c>
      <c r="K72" s="14" t="e">
        <f ca="1">IF(PaymentSchedule[[#This Row],[PMT NO]]&lt;&gt;"",SUM(INDEX(PaymentSchedule[INTEREST],1,1):PaymentSchedule[[#This Row],[INTEREST]]),"")</f>
        <v>#VALUE!</v>
      </c>
    </row>
    <row r="73" spans="2:11">
      <c r="B73" s="10">
        <f ca="1">IF(LoanIsGood,IF(ROW()-ROW(PaymentSchedule[[#Headers],[PMT NO]])&gt;ScheduledNumberOfPayments,"",ROW()-ROW(PaymentSchedule[[#Headers],[PMT NO]])),"")</f>
        <v>57</v>
      </c>
      <c r="C73" s="12">
        <f ca="1">IF(PaymentSchedule[[#This Row],[PMT NO]]&lt;&gt;"",EOMONTH(LoanStartDate,ROW(PaymentSchedule[[#This Row],[PMT NO]])-ROW(PaymentSchedule[[#Headers],[PMT NO]])-2)+DAY(LoanStartDate),"")</f>
        <v>47666</v>
      </c>
      <c r="D7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3" s="14">
        <f ca="1">IF(PaymentSchedule[[#This Row],[PMT NO]]&lt;&gt;"",ScheduledPayment,"")</f>
        <v>1073.6432460242781</v>
      </c>
      <c r="F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3" s="14" t="e">
        <f ca="1">IF(PaymentSchedule[[#This Row],[PMT NO]]&lt;&gt;"",PaymentSchedule[[#This Row],[TOTAL PAYMENT]]-PaymentSchedule[[#This Row],[INTEREST]],"")</f>
        <v>#VALUE!</v>
      </c>
      <c r="I73" s="14" t="e">
        <f ca="1">IF(PaymentSchedule[[#This Row],[PMT NO]]&lt;&gt;"",PaymentSchedule[[#This Row],[BEGINNING BALANCE]]*(InterestRate/PaymentsPerYear),"")</f>
        <v>#VALUE!</v>
      </c>
      <c r="J73" s="14" t="s">
        <v>32</v>
      </c>
      <c r="K73" s="14" t="e">
        <f ca="1">IF(PaymentSchedule[[#This Row],[PMT NO]]&lt;&gt;"",SUM(INDEX(PaymentSchedule[INTEREST],1,1):PaymentSchedule[[#This Row],[INTEREST]]),"")</f>
        <v>#VALUE!</v>
      </c>
    </row>
    <row r="74" spans="2:11">
      <c r="B74" s="10">
        <f ca="1">IF(LoanIsGood,IF(ROW()-ROW(PaymentSchedule[[#Headers],[PMT NO]])&gt;ScheduledNumberOfPayments,"",ROW()-ROW(PaymentSchedule[[#Headers],[PMT NO]])),"")</f>
        <v>58</v>
      </c>
      <c r="C74" s="12">
        <f ca="1">IF(PaymentSchedule[[#This Row],[PMT NO]]&lt;&gt;"",EOMONTH(LoanStartDate,ROW(PaymentSchedule[[#This Row],[PMT NO]])-ROW(PaymentSchedule[[#Headers],[PMT NO]])-2)+DAY(LoanStartDate),"")</f>
        <v>47697</v>
      </c>
      <c r="D7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4" s="14">
        <f ca="1">IF(PaymentSchedule[[#This Row],[PMT NO]]&lt;&gt;"",ScheduledPayment,"")</f>
        <v>1073.6432460242781</v>
      </c>
      <c r="F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4" s="14" t="e">
        <f ca="1">IF(PaymentSchedule[[#This Row],[PMT NO]]&lt;&gt;"",PaymentSchedule[[#This Row],[TOTAL PAYMENT]]-PaymentSchedule[[#This Row],[INTEREST]],"")</f>
        <v>#VALUE!</v>
      </c>
      <c r="I74" s="14" t="e">
        <f ca="1">IF(PaymentSchedule[[#This Row],[PMT NO]]&lt;&gt;"",PaymentSchedule[[#This Row],[BEGINNING BALANCE]]*(InterestRate/PaymentsPerYear),"")</f>
        <v>#VALUE!</v>
      </c>
      <c r="J74" s="14" t="s">
        <v>32</v>
      </c>
      <c r="K74" s="14" t="e">
        <f ca="1">IF(PaymentSchedule[[#This Row],[PMT NO]]&lt;&gt;"",SUM(INDEX(PaymentSchedule[INTEREST],1,1):PaymentSchedule[[#This Row],[INTEREST]]),"")</f>
        <v>#VALUE!</v>
      </c>
    </row>
    <row r="75" spans="2:11">
      <c r="B75" s="10">
        <f ca="1">IF(LoanIsGood,IF(ROW()-ROW(PaymentSchedule[[#Headers],[PMT NO]])&gt;ScheduledNumberOfPayments,"",ROW()-ROW(PaymentSchedule[[#Headers],[PMT NO]])),"")</f>
        <v>59</v>
      </c>
      <c r="C75" s="12">
        <f ca="1">IF(PaymentSchedule[[#This Row],[PMT NO]]&lt;&gt;"",EOMONTH(LoanStartDate,ROW(PaymentSchedule[[#This Row],[PMT NO]])-ROW(PaymentSchedule[[#Headers],[PMT NO]])-2)+DAY(LoanStartDate),"")</f>
        <v>47728</v>
      </c>
      <c r="D7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5" s="14">
        <f ca="1">IF(PaymentSchedule[[#This Row],[PMT NO]]&lt;&gt;"",ScheduledPayment,"")</f>
        <v>1073.6432460242781</v>
      </c>
      <c r="F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5" s="14" t="e">
        <f ca="1">IF(PaymentSchedule[[#This Row],[PMT NO]]&lt;&gt;"",PaymentSchedule[[#This Row],[TOTAL PAYMENT]]-PaymentSchedule[[#This Row],[INTEREST]],"")</f>
        <v>#VALUE!</v>
      </c>
      <c r="I75" s="14" t="e">
        <f ca="1">IF(PaymentSchedule[[#This Row],[PMT NO]]&lt;&gt;"",PaymentSchedule[[#This Row],[BEGINNING BALANCE]]*(InterestRate/PaymentsPerYear),"")</f>
        <v>#VALUE!</v>
      </c>
      <c r="J75" s="14" t="s">
        <v>32</v>
      </c>
      <c r="K75" s="14" t="e">
        <f ca="1">IF(PaymentSchedule[[#This Row],[PMT NO]]&lt;&gt;"",SUM(INDEX(PaymentSchedule[INTEREST],1,1):PaymentSchedule[[#This Row],[INTEREST]]),"")</f>
        <v>#VALUE!</v>
      </c>
    </row>
    <row r="76" spans="2:11">
      <c r="B76" s="10">
        <f ca="1">IF(LoanIsGood,IF(ROW()-ROW(PaymentSchedule[[#Headers],[PMT NO]])&gt;ScheduledNumberOfPayments,"",ROW()-ROW(PaymentSchedule[[#Headers],[PMT NO]])),"")</f>
        <v>60</v>
      </c>
      <c r="C76" s="12">
        <f ca="1">IF(PaymentSchedule[[#This Row],[PMT NO]]&lt;&gt;"",EOMONTH(LoanStartDate,ROW(PaymentSchedule[[#This Row],[PMT NO]])-ROW(PaymentSchedule[[#Headers],[PMT NO]])-2)+DAY(LoanStartDate),"")</f>
        <v>47758</v>
      </c>
      <c r="D7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6" s="14">
        <f ca="1">IF(PaymentSchedule[[#This Row],[PMT NO]]&lt;&gt;"",ScheduledPayment,"")</f>
        <v>1073.6432460242781</v>
      </c>
      <c r="F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6" s="14" t="e">
        <f ca="1">IF(PaymentSchedule[[#This Row],[PMT NO]]&lt;&gt;"",PaymentSchedule[[#This Row],[TOTAL PAYMENT]]-PaymentSchedule[[#This Row],[INTEREST]],"")</f>
        <v>#VALUE!</v>
      </c>
      <c r="I76" s="14" t="e">
        <f ca="1">IF(PaymentSchedule[[#This Row],[PMT NO]]&lt;&gt;"",PaymentSchedule[[#This Row],[BEGINNING BALANCE]]*(InterestRate/PaymentsPerYear),"")</f>
        <v>#VALUE!</v>
      </c>
      <c r="J76" s="14" t="s">
        <v>32</v>
      </c>
      <c r="K76" s="14" t="e">
        <f ca="1">IF(PaymentSchedule[[#This Row],[PMT NO]]&lt;&gt;"",SUM(INDEX(PaymentSchedule[INTEREST],1,1):PaymentSchedule[[#This Row],[INTEREST]]),"")</f>
        <v>#VALUE!</v>
      </c>
    </row>
    <row r="77" spans="2:11">
      <c r="B77" s="10">
        <f ca="1">IF(LoanIsGood,IF(ROW()-ROW(PaymentSchedule[[#Headers],[PMT NO]])&gt;ScheduledNumberOfPayments,"",ROW()-ROW(PaymentSchedule[[#Headers],[PMT NO]])),"")</f>
        <v>61</v>
      </c>
      <c r="C77" s="12">
        <f ca="1">IF(PaymentSchedule[[#This Row],[PMT NO]]&lt;&gt;"",EOMONTH(LoanStartDate,ROW(PaymentSchedule[[#This Row],[PMT NO]])-ROW(PaymentSchedule[[#Headers],[PMT NO]])-2)+DAY(LoanStartDate),"")</f>
        <v>47789</v>
      </c>
      <c r="D7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7" s="14">
        <f ca="1">IF(PaymentSchedule[[#This Row],[PMT NO]]&lt;&gt;"",ScheduledPayment,"")</f>
        <v>1073.6432460242781</v>
      </c>
      <c r="F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7" s="14" t="e">
        <f ca="1">IF(PaymentSchedule[[#This Row],[PMT NO]]&lt;&gt;"",PaymentSchedule[[#This Row],[TOTAL PAYMENT]]-PaymentSchedule[[#This Row],[INTEREST]],"")</f>
        <v>#VALUE!</v>
      </c>
      <c r="I77" s="14" t="e">
        <f ca="1">IF(PaymentSchedule[[#This Row],[PMT NO]]&lt;&gt;"",PaymentSchedule[[#This Row],[BEGINNING BALANCE]]*(InterestRate/PaymentsPerYear),"")</f>
        <v>#VALUE!</v>
      </c>
      <c r="J77" s="14" t="s">
        <v>32</v>
      </c>
      <c r="K77" s="14" t="e">
        <f ca="1">IF(PaymentSchedule[[#This Row],[PMT NO]]&lt;&gt;"",SUM(INDEX(PaymentSchedule[INTEREST],1,1):PaymentSchedule[[#This Row],[INTEREST]]),"")</f>
        <v>#VALUE!</v>
      </c>
    </row>
    <row r="78" spans="2:11">
      <c r="B78" s="10">
        <f ca="1">IF(LoanIsGood,IF(ROW()-ROW(PaymentSchedule[[#Headers],[PMT NO]])&gt;ScheduledNumberOfPayments,"",ROW()-ROW(PaymentSchedule[[#Headers],[PMT NO]])),"")</f>
        <v>62</v>
      </c>
      <c r="C78" s="12">
        <f ca="1">IF(PaymentSchedule[[#This Row],[PMT NO]]&lt;&gt;"",EOMONTH(LoanStartDate,ROW(PaymentSchedule[[#This Row],[PMT NO]])-ROW(PaymentSchedule[[#Headers],[PMT NO]])-2)+DAY(LoanStartDate),"")</f>
        <v>47819</v>
      </c>
      <c r="D7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8" s="14">
        <f ca="1">IF(PaymentSchedule[[#This Row],[PMT NO]]&lt;&gt;"",ScheduledPayment,"")</f>
        <v>1073.6432460242781</v>
      </c>
      <c r="F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8" s="14" t="e">
        <f ca="1">IF(PaymentSchedule[[#This Row],[PMT NO]]&lt;&gt;"",PaymentSchedule[[#This Row],[TOTAL PAYMENT]]-PaymentSchedule[[#This Row],[INTEREST]],"")</f>
        <v>#VALUE!</v>
      </c>
      <c r="I78" s="14" t="e">
        <f ca="1">IF(PaymentSchedule[[#This Row],[PMT NO]]&lt;&gt;"",PaymentSchedule[[#This Row],[BEGINNING BALANCE]]*(InterestRate/PaymentsPerYear),"")</f>
        <v>#VALUE!</v>
      </c>
      <c r="J78" s="14" t="s">
        <v>32</v>
      </c>
      <c r="K78" s="14" t="e">
        <f ca="1">IF(PaymentSchedule[[#This Row],[PMT NO]]&lt;&gt;"",SUM(INDEX(PaymentSchedule[INTEREST],1,1):PaymentSchedule[[#This Row],[INTEREST]]),"")</f>
        <v>#VALUE!</v>
      </c>
    </row>
    <row r="79" spans="2:11">
      <c r="B79" s="10">
        <f ca="1">IF(LoanIsGood,IF(ROW()-ROW(PaymentSchedule[[#Headers],[PMT NO]])&gt;ScheduledNumberOfPayments,"",ROW()-ROW(PaymentSchedule[[#Headers],[PMT NO]])),"")</f>
        <v>63</v>
      </c>
      <c r="C79" s="12">
        <f ca="1">IF(PaymentSchedule[[#This Row],[PMT NO]]&lt;&gt;"",EOMONTH(LoanStartDate,ROW(PaymentSchedule[[#This Row],[PMT NO]])-ROW(PaymentSchedule[[#Headers],[PMT NO]])-2)+DAY(LoanStartDate),"")</f>
        <v>47850</v>
      </c>
      <c r="D7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79" s="14">
        <f ca="1">IF(PaymentSchedule[[#This Row],[PMT NO]]&lt;&gt;"",ScheduledPayment,"")</f>
        <v>1073.6432460242781</v>
      </c>
      <c r="F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7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79" s="14" t="e">
        <f ca="1">IF(PaymentSchedule[[#This Row],[PMT NO]]&lt;&gt;"",PaymentSchedule[[#This Row],[TOTAL PAYMENT]]-PaymentSchedule[[#This Row],[INTEREST]],"")</f>
        <v>#VALUE!</v>
      </c>
      <c r="I79" s="14" t="e">
        <f ca="1">IF(PaymentSchedule[[#This Row],[PMT NO]]&lt;&gt;"",PaymentSchedule[[#This Row],[BEGINNING BALANCE]]*(InterestRate/PaymentsPerYear),"")</f>
        <v>#VALUE!</v>
      </c>
      <c r="J79" s="14" t="s">
        <v>32</v>
      </c>
      <c r="K79" s="14" t="e">
        <f ca="1">IF(PaymentSchedule[[#This Row],[PMT NO]]&lt;&gt;"",SUM(INDEX(PaymentSchedule[INTEREST],1,1):PaymentSchedule[[#This Row],[INTEREST]]),"")</f>
        <v>#VALUE!</v>
      </c>
    </row>
    <row r="80" spans="2:11">
      <c r="B80" s="10">
        <f ca="1">IF(LoanIsGood,IF(ROW()-ROW(PaymentSchedule[[#Headers],[PMT NO]])&gt;ScheduledNumberOfPayments,"",ROW()-ROW(PaymentSchedule[[#Headers],[PMT NO]])),"")</f>
        <v>64</v>
      </c>
      <c r="C80" s="12">
        <f ca="1">IF(PaymentSchedule[[#This Row],[PMT NO]]&lt;&gt;"",EOMONTH(LoanStartDate,ROW(PaymentSchedule[[#This Row],[PMT NO]])-ROW(PaymentSchedule[[#Headers],[PMT NO]])-2)+DAY(LoanStartDate),"")</f>
        <v>47881</v>
      </c>
      <c r="D8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0" s="14">
        <f ca="1">IF(PaymentSchedule[[#This Row],[PMT NO]]&lt;&gt;"",ScheduledPayment,"")</f>
        <v>1073.6432460242781</v>
      </c>
      <c r="F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0" s="14" t="e">
        <f ca="1">IF(PaymentSchedule[[#This Row],[PMT NO]]&lt;&gt;"",PaymentSchedule[[#This Row],[TOTAL PAYMENT]]-PaymentSchedule[[#This Row],[INTEREST]],"")</f>
        <v>#VALUE!</v>
      </c>
      <c r="I80" s="14" t="e">
        <f ca="1">IF(PaymentSchedule[[#This Row],[PMT NO]]&lt;&gt;"",PaymentSchedule[[#This Row],[BEGINNING BALANCE]]*(InterestRate/PaymentsPerYear),"")</f>
        <v>#VALUE!</v>
      </c>
      <c r="J80" s="14" t="s">
        <v>32</v>
      </c>
      <c r="K80" s="14" t="e">
        <f ca="1">IF(PaymentSchedule[[#This Row],[PMT NO]]&lt;&gt;"",SUM(INDEX(PaymentSchedule[INTEREST],1,1):PaymentSchedule[[#This Row],[INTEREST]]),"")</f>
        <v>#VALUE!</v>
      </c>
    </row>
    <row r="81" spans="2:11">
      <c r="B81" s="10">
        <f ca="1">IF(LoanIsGood,IF(ROW()-ROW(PaymentSchedule[[#Headers],[PMT NO]])&gt;ScheduledNumberOfPayments,"",ROW()-ROW(PaymentSchedule[[#Headers],[PMT NO]])),"")</f>
        <v>65</v>
      </c>
      <c r="C81" s="12">
        <f ca="1">IF(PaymentSchedule[[#This Row],[PMT NO]]&lt;&gt;"",EOMONTH(LoanStartDate,ROW(PaymentSchedule[[#This Row],[PMT NO]])-ROW(PaymentSchedule[[#Headers],[PMT NO]])-2)+DAY(LoanStartDate),"")</f>
        <v>47909</v>
      </c>
      <c r="D8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1" s="14">
        <f ca="1">IF(PaymentSchedule[[#This Row],[PMT NO]]&lt;&gt;"",ScheduledPayment,"")</f>
        <v>1073.6432460242781</v>
      </c>
      <c r="F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1" s="14" t="e">
        <f ca="1">IF(PaymentSchedule[[#This Row],[PMT NO]]&lt;&gt;"",PaymentSchedule[[#This Row],[TOTAL PAYMENT]]-PaymentSchedule[[#This Row],[INTEREST]],"")</f>
        <v>#VALUE!</v>
      </c>
      <c r="I81" s="14" t="e">
        <f ca="1">IF(PaymentSchedule[[#This Row],[PMT NO]]&lt;&gt;"",PaymentSchedule[[#This Row],[BEGINNING BALANCE]]*(InterestRate/PaymentsPerYear),"")</f>
        <v>#VALUE!</v>
      </c>
      <c r="J81" s="14" t="s">
        <v>32</v>
      </c>
      <c r="K81" s="14" t="e">
        <f ca="1">IF(PaymentSchedule[[#This Row],[PMT NO]]&lt;&gt;"",SUM(INDEX(PaymentSchedule[INTEREST],1,1):PaymentSchedule[[#This Row],[INTEREST]]),"")</f>
        <v>#VALUE!</v>
      </c>
    </row>
    <row r="82" spans="2:11">
      <c r="B82" s="10">
        <f ca="1">IF(LoanIsGood,IF(ROW()-ROW(PaymentSchedule[[#Headers],[PMT NO]])&gt;ScheduledNumberOfPayments,"",ROW()-ROW(PaymentSchedule[[#Headers],[PMT NO]])),"")</f>
        <v>66</v>
      </c>
      <c r="C82" s="12">
        <f ca="1">IF(PaymentSchedule[[#This Row],[PMT NO]]&lt;&gt;"",EOMONTH(LoanStartDate,ROW(PaymentSchedule[[#This Row],[PMT NO]])-ROW(PaymentSchedule[[#Headers],[PMT NO]])-2)+DAY(LoanStartDate),"")</f>
        <v>47940</v>
      </c>
      <c r="D8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2" s="14">
        <f ca="1">IF(PaymentSchedule[[#This Row],[PMT NO]]&lt;&gt;"",ScheduledPayment,"")</f>
        <v>1073.6432460242781</v>
      </c>
      <c r="F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2" s="14" t="e">
        <f ca="1">IF(PaymentSchedule[[#This Row],[PMT NO]]&lt;&gt;"",PaymentSchedule[[#This Row],[TOTAL PAYMENT]]-PaymentSchedule[[#This Row],[INTEREST]],"")</f>
        <v>#VALUE!</v>
      </c>
      <c r="I82" s="14" t="e">
        <f ca="1">IF(PaymentSchedule[[#This Row],[PMT NO]]&lt;&gt;"",PaymentSchedule[[#This Row],[BEGINNING BALANCE]]*(InterestRate/PaymentsPerYear),"")</f>
        <v>#VALUE!</v>
      </c>
      <c r="J82" s="14" t="s">
        <v>32</v>
      </c>
      <c r="K82" s="14" t="e">
        <f ca="1">IF(PaymentSchedule[[#This Row],[PMT NO]]&lt;&gt;"",SUM(INDEX(PaymentSchedule[INTEREST],1,1):PaymentSchedule[[#This Row],[INTEREST]]),"")</f>
        <v>#VALUE!</v>
      </c>
    </row>
    <row r="83" spans="2:11">
      <c r="B83" s="10">
        <f ca="1">IF(LoanIsGood,IF(ROW()-ROW(PaymentSchedule[[#Headers],[PMT NO]])&gt;ScheduledNumberOfPayments,"",ROW()-ROW(PaymentSchedule[[#Headers],[PMT NO]])),"")</f>
        <v>67</v>
      </c>
      <c r="C83" s="12">
        <f ca="1">IF(PaymentSchedule[[#This Row],[PMT NO]]&lt;&gt;"",EOMONTH(LoanStartDate,ROW(PaymentSchedule[[#This Row],[PMT NO]])-ROW(PaymentSchedule[[#Headers],[PMT NO]])-2)+DAY(LoanStartDate),"")</f>
        <v>47970</v>
      </c>
      <c r="D8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3" s="14">
        <f ca="1">IF(PaymentSchedule[[#This Row],[PMT NO]]&lt;&gt;"",ScheduledPayment,"")</f>
        <v>1073.6432460242781</v>
      </c>
      <c r="F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3" s="14" t="e">
        <f ca="1">IF(PaymentSchedule[[#This Row],[PMT NO]]&lt;&gt;"",PaymentSchedule[[#This Row],[TOTAL PAYMENT]]-PaymentSchedule[[#This Row],[INTEREST]],"")</f>
        <v>#VALUE!</v>
      </c>
      <c r="I83" s="14" t="e">
        <f ca="1">IF(PaymentSchedule[[#This Row],[PMT NO]]&lt;&gt;"",PaymentSchedule[[#This Row],[BEGINNING BALANCE]]*(InterestRate/PaymentsPerYear),"")</f>
        <v>#VALUE!</v>
      </c>
      <c r="J83" s="14" t="s">
        <v>32</v>
      </c>
      <c r="K83" s="14" t="e">
        <f ca="1">IF(PaymentSchedule[[#This Row],[PMT NO]]&lt;&gt;"",SUM(INDEX(PaymentSchedule[INTEREST],1,1):PaymentSchedule[[#This Row],[INTEREST]]),"")</f>
        <v>#VALUE!</v>
      </c>
    </row>
    <row r="84" spans="2:11">
      <c r="B84" s="10">
        <f ca="1">IF(LoanIsGood,IF(ROW()-ROW(PaymentSchedule[[#Headers],[PMT NO]])&gt;ScheduledNumberOfPayments,"",ROW()-ROW(PaymentSchedule[[#Headers],[PMT NO]])),"")</f>
        <v>68</v>
      </c>
      <c r="C84" s="12">
        <f ca="1">IF(PaymentSchedule[[#This Row],[PMT NO]]&lt;&gt;"",EOMONTH(LoanStartDate,ROW(PaymentSchedule[[#This Row],[PMT NO]])-ROW(PaymentSchedule[[#Headers],[PMT NO]])-2)+DAY(LoanStartDate),"")</f>
        <v>48001</v>
      </c>
      <c r="D8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4" s="14">
        <f ca="1">IF(PaymentSchedule[[#This Row],[PMT NO]]&lt;&gt;"",ScheduledPayment,"")</f>
        <v>1073.6432460242781</v>
      </c>
      <c r="F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4" s="14" t="e">
        <f ca="1">IF(PaymentSchedule[[#This Row],[PMT NO]]&lt;&gt;"",PaymentSchedule[[#This Row],[TOTAL PAYMENT]]-PaymentSchedule[[#This Row],[INTEREST]],"")</f>
        <v>#VALUE!</v>
      </c>
      <c r="I84" s="14" t="e">
        <f ca="1">IF(PaymentSchedule[[#This Row],[PMT NO]]&lt;&gt;"",PaymentSchedule[[#This Row],[BEGINNING BALANCE]]*(InterestRate/PaymentsPerYear),"")</f>
        <v>#VALUE!</v>
      </c>
      <c r="J84" s="14" t="s">
        <v>32</v>
      </c>
      <c r="K84" s="14" t="e">
        <f ca="1">IF(PaymentSchedule[[#This Row],[PMT NO]]&lt;&gt;"",SUM(INDEX(PaymentSchedule[INTEREST],1,1):PaymentSchedule[[#This Row],[INTEREST]]),"")</f>
        <v>#VALUE!</v>
      </c>
    </row>
    <row r="85" spans="2:11">
      <c r="B85" s="10">
        <f ca="1">IF(LoanIsGood,IF(ROW()-ROW(PaymentSchedule[[#Headers],[PMT NO]])&gt;ScheduledNumberOfPayments,"",ROW()-ROW(PaymentSchedule[[#Headers],[PMT NO]])),"")</f>
        <v>69</v>
      </c>
      <c r="C85" s="12">
        <f ca="1">IF(PaymentSchedule[[#This Row],[PMT NO]]&lt;&gt;"",EOMONTH(LoanStartDate,ROW(PaymentSchedule[[#This Row],[PMT NO]])-ROW(PaymentSchedule[[#Headers],[PMT NO]])-2)+DAY(LoanStartDate),"")</f>
        <v>48031</v>
      </c>
      <c r="D8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5" s="14">
        <f ca="1">IF(PaymentSchedule[[#This Row],[PMT NO]]&lt;&gt;"",ScheduledPayment,"")</f>
        <v>1073.6432460242781</v>
      </c>
      <c r="F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5" s="14" t="e">
        <f ca="1">IF(PaymentSchedule[[#This Row],[PMT NO]]&lt;&gt;"",PaymentSchedule[[#This Row],[TOTAL PAYMENT]]-PaymentSchedule[[#This Row],[INTEREST]],"")</f>
        <v>#VALUE!</v>
      </c>
      <c r="I85" s="14" t="e">
        <f ca="1">IF(PaymentSchedule[[#This Row],[PMT NO]]&lt;&gt;"",PaymentSchedule[[#This Row],[BEGINNING BALANCE]]*(InterestRate/PaymentsPerYear),"")</f>
        <v>#VALUE!</v>
      </c>
      <c r="J85" s="14" t="s">
        <v>32</v>
      </c>
      <c r="K85" s="14" t="e">
        <f ca="1">IF(PaymentSchedule[[#This Row],[PMT NO]]&lt;&gt;"",SUM(INDEX(PaymentSchedule[INTEREST],1,1):PaymentSchedule[[#This Row],[INTEREST]]),"")</f>
        <v>#VALUE!</v>
      </c>
    </row>
    <row r="86" spans="2:11">
      <c r="B86" s="10">
        <f ca="1">IF(LoanIsGood,IF(ROW()-ROW(PaymentSchedule[[#Headers],[PMT NO]])&gt;ScheduledNumberOfPayments,"",ROW()-ROW(PaymentSchedule[[#Headers],[PMT NO]])),"")</f>
        <v>70</v>
      </c>
      <c r="C86" s="12">
        <f ca="1">IF(PaymentSchedule[[#This Row],[PMT NO]]&lt;&gt;"",EOMONTH(LoanStartDate,ROW(PaymentSchedule[[#This Row],[PMT NO]])-ROW(PaymentSchedule[[#Headers],[PMT NO]])-2)+DAY(LoanStartDate),"")</f>
        <v>48062</v>
      </c>
      <c r="D8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6" s="14">
        <f ca="1">IF(PaymentSchedule[[#This Row],[PMT NO]]&lt;&gt;"",ScheduledPayment,"")</f>
        <v>1073.6432460242781</v>
      </c>
      <c r="F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6" s="14" t="e">
        <f ca="1">IF(PaymentSchedule[[#This Row],[PMT NO]]&lt;&gt;"",PaymentSchedule[[#This Row],[TOTAL PAYMENT]]-PaymentSchedule[[#This Row],[INTEREST]],"")</f>
        <v>#VALUE!</v>
      </c>
      <c r="I86" s="14" t="e">
        <f ca="1">IF(PaymentSchedule[[#This Row],[PMT NO]]&lt;&gt;"",PaymentSchedule[[#This Row],[BEGINNING BALANCE]]*(InterestRate/PaymentsPerYear),"")</f>
        <v>#VALUE!</v>
      </c>
      <c r="J86" s="14" t="s">
        <v>32</v>
      </c>
      <c r="K86" s="14" t="e">
        <f ca="1">IF(PaymentSchedule[[#This Row],[PMT NO]]&lt;&gt;"",SUM(INDEX(PaymentSchedule[INTEREST],1,1):PaymentSchedule[[#This Row],[INTEREST]]),"")</f>
        <v>#VALUE!</v>
      </c>
    </row>
    <row r="87" spans="2:11">
      <c r="B87" s="10">
        <f ca="1">IF(LoanIsGood,IF(ROW()-ROW(PaymentSchedule[[#Headers],[PMT NO]])&gt;ScheduledNumberOfPayments,"",ROW()-ROW(PaymentSchedule[[#Headers],[PMT NO]])),"")</f>
        <v>71</v>
      </c>
      <c r="C87" s="12">
        <f ca="1">IF(PaymentSchedule[[#This Row],[PMT NO]]&lt;&gt;"",EOMONTH(LoanStartDate,ROW(PaymentSchedule[[#This Row],[PMT NO]])-ROW(PaymentSchedule[[#Headers],[PMT NO]])-2)+DAY(LoanStartDate),"")</f>
        <v>48093</v>
      </c>
      <c r="D8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7" s="14">
        <f ca="1">IF(PaymentSchedule[[#This Row],[PMT NO]]&lt;&gt;"",ScheduledPayment,"")</f>
        <v>1073.6432460242781</v>
      </c>
      <c r="F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7" s="14" t="e">
        <f ca="1">IF(PaymentSchedule[[#This Row],[PMT NO]]&lt;&gt;"",PaymentSchedule[[#This Row],[TOTAL PAYMENT]]-PaymentSchedule[[#This Row],[INTEREST]],"")</f>
        <v>#VALUE!</v>
      </c>
      <c r="I87" s="14" t="e">
        <f ca="1">IF(PaymentSchedule[[#This Row],[PMT NO]]&lt;&gt;"",PaymentSchedule[[#This Row],[BEGINNING BALANCE]]*(InterestRate/PaymentsPerYear),"")</f>
        <v>#VALUE!</v>
      </c>
      <c r="J87" s="14" t="s">
        <v>32</v>
      </c>
      <c r="K87" s="14" t="e">
        <f ca="1">IF(PaymentSchedule[[#This Row],[PMT NO]]&lt;&gt;"",SUM(INDEX(PaymentSchedule[INTEREST],1,1):PaymentSchedule[[#This Row],[INTEREST]]),"")</f>
        <v>#VALUE!</v>
      </c>
    </row>
    <row r="88" spans="2:11">
      <c r="B88" s="10">
        <f ca="1">IF(LoanIsGood,IF(ROW()-ROW(PaymentSchedule[[#Headers],[PMT NO]])&gt;ScheduledNumberOfPayments,"",ROW()-ROW(PaymentSchedule[[#Headers],[PMT NO]])),"")</f>
        <v>72</v>
      </c>
      <c r="C88" s="12">
        <f ca="1">IF(PaymentSchedule[[#This Row],[PMT NO]]&lt;&gt;"",EOMONTH(LoanStartDate,ROW(PaymentSchedule[[#This Row],[PMT NO]])-ROW(PaymentSchedule[[#Headers],[PMT NO]])-2)+DAY(LoanStartDate),"")</f>
        <v>48123</v>
      </c>
      <c r="D8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8" s="14">
        <f ca="1">IF(PaymentSchedule[[#This Row],[PMT NO]]&lt;&gt;"",ScheduledPayment,"")</f>
        <v>1073.6432460242781</v>
      </c>
      <c r="F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8" s="14" t="e">
        <f ca="1">IF(PaymentSchedule[[#This Row],[PMT NO]]&lt;&gt;"",PaymentSchedule[[#This Row],[TOTAL PAYMENT]]-PaymentSchedule[[#This Row],[INTEREST]],"")</f>
        <v>#VALUE!</v>
      </c>
      <c r="I88" s="14" t="e">
        <f ca="1">IF(PaymentSchedule[[#This Row],[PMT NO]]&lt;&gt;"",PaymentSchedule[[#This Row],[BEGINNING BALANCE]]*(InterestRate/PaymentsPerYear),"")</f>
        <v>#VALUE!</v>
      </c>
      <c r="J88" s="14" t="s">
        <v>32</v>
      </c>
      <c r="K88" s="14" t="e">
        <f ca="1">IF(PaymentSchedule[[#This Row],[PMT NO]]&lt;&gt;"",SUM(INDEX(PaymentSchedule[INTEREST],1,1):PaymentSchedule[[#This Row],[INTEREST]]),"")</f>
        <v>#VALUE!</v>
      </c>
    </row>
    <row r="89" spans="2:11">
      <c r="B89" s="10">
        <f ca="1">IF(LoanIsGood,IF(ROW()-ROW(PaymentSchedule[[#Headers],[PMT NO]])&gt;ScheduledNumberOfPayments,"",ROW()-ROW(PaymentSchedule[[#Headers],[PMT NO]])),"")</f>
        <v>73</v>
      </c>
      <c r="C89" s="12">
        <f ca="1">IF(PaymentSchedule[[#This Row],[PMT NO]]&lt;&gt;"",EOMONTH(LoanStartDate,ROW(PaymentSchedule[[#This Row],[PMT NO]])-ROW(PaymentSchedule[[#Headers],[PMT NO]])-2)+DAY(LoanStartDate),"")</f>
        <v>48154</v>
      </c>
      <c r="D8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89" s="14">
        <f ca="1">IF(PaymentSchedule[[#This Row],[PMT NO]]&lt;&gt;"",ScheduledPayment,"")</f>
        <v>1073.6432460242781</v>
      </c>
      <c r="F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8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89" s="14" t="e">
        <f ca="1">IF(PaymentSchedule[[#This Row],[PMT NO]]&lt;&gt;"",PaymentSchedule[[#This Row],[TOTAL PAYMENT]]-PaymentSchedule[[#This Row],[INTEREST]],"")</f>
        <v>#VALUE!</v>
      </c>
      <c r="I89" s="14" t="e">
        <f ca="1">IF(PaymentSchedule[[#This Row],[PMT NO]]&lt;&gt;"",PaymentSchedule[[#This Row],[BEGINNING BALANCE]]*(InterestRate/PaymentsPerYear),"")</f>
        <v>#VALUE!</v>
      </c>
      <c r="J89" s="14" t="s">
        <v>32</v>
      </c>
      <c r="K89" s="14" t="e">
        <f ca="1">IF(PaymentSchedule[[#This Row],[PMT NO]]&lt;&gt;"",SUM(INDEX(PaymentSchedule[INTEREST],1,1):PaymentSchedule[[#This Row],[INTEREST]]),"")</f>
        <v>#VALUE!</v>
      </c>
    </row>
    <row r="90" spans="2:11">
      <c r="B90" s="10">
        <f ca="1">IF(LoanIsGood,IF(ROW()-ROW(PaymentSchedule[[#Headers],[PMT NO]])&gt;ScheduledNumberOfPayments,"",ROW()-ROW(PaymentSchedule[[#Headers],[PMT NO]])),"")</f>
        <v>74</v>
      </c>
      <c r="C90" s="12">
        <f ca="1">IF(PaymentSchedule[[#This Row],[PMT NO]]&lt;&gt;"",EOMONTH(LoanStartDate,ROW(PaymentSchedule[[#This Row],[PMT NO]])-ROW(PaymentSchedule[[#Headers],[PMT NO]])-2)+DAY(LoanStartDate),"")</f>
        <v>48184</v>
      </c>
      <c r="D9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0" s="14">
        <f ca="1">IF(PaymentSchedule[[#This Row],[PMT NO]]&lt;&gt;"",ScheduledPayment,"")</f>
        <v>1073.6432460242781</v>
      </c>
      <c r="F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0" s="14" t="e">
        <f ca="1">IF(PaymentSchedule[[#This Row],[PMT NO]]&lt;&gt;"",PaymentSchedule[[#This Row],[TOTAL PAYMENT]]-PaymentSchedule[[#This Row],[INTEREST]],"")</f>
        <v>#VALUE!</v>
      </c>
      <c r="I90" s="14" t="e">
        <f ca="1">IF(PaymentSchedule[[#This Row],[PMT NO]]&lt;&gt;"",PaymentSchedule[[#This Row],[BEGINNING BALANCE]]*(InterestRate/PaymentsPerYear),"")</f>
        <v>#VALUE!</v>
      </c>
      <c r="J90" s="14" t="s">
        <v>32</v>
      </c>
      <c r="K90" s="14" t="e">
        <f ca="1">IF(PaymentSchedule[[#This Row],[PMT NO]]&lt;&gt;"",SUM(INDEX(PaymentSchedule[INTEREST],1,1):PaymentSchedule[[#This Row],[INTEREST]]),"")</f>
        <v>#VALUE!</v>
      </c>
    </row>
    <row r="91" spans="2:11">
      <c r="B91" s="10">
        <f ca="1">IF(LoanIsGood,IF(ROW()-ROW(PaymentSchedule[[#Headers],[PMT NO]])&gt;ScheduledNumberOfPayments,"",ROW()-ROW(PaymentSchedule[[#Headers],[PMT NO]])),"")</f>
        <v>75</v>
      </c>
      <c r="C91" s="12">
        <f ca="1">IF(PaymentSchedule[[#This Row],[PMT NO]]&lt;&gt;"",EOMONTH(LoanStartDate,ROW(PaymentSchedule[[#This Row],[PMT NO]])-ROW(PaymentSchedule[[#Headers],[PMT NO]])-2)+DAY(LoanStartDate),"")</f>
        <v>48215</v>
      </c>
      <c r="D9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1" s="14">
        <f ca="1">IF(PaymentSchedule[[#This Row],[PMT NO]]&lt;&gt;"",ScheduledPayment,"")</f>
        <v>1073.6432460242781</v>
      </c>
      <c r="F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1" s="14" t="e">
        <f ca="1">IF(PaymentSchedule[[#This Row],[PMT NO]]&lt;&gt;"",PaymentSchedule[[#This Row],[TOTAL PAYMENT]]-PaymentSchedule[[#This Row],[INTEREST]],"")</f>
        <v>#VALUE!</v>
      </c>
      <c r="I91" s="14" t="e">
        <f ca="1">IF(PaymentSchedule[[#This Row],[PMT NO]]&lt;&gt;"",PaymentSchedule[[#This Row],[BEGINNING BALANCE]]*(InterestRate/PaymentsPerYear),"")</f>
        <v>#VALUE!</v>
      </c>
      <c r="J91" s="14" t="s">
        <v>32</v>
      </c>
      <c r="K91" s="14" t="e">
        <f ca="1">IF(PaymentSchedule[[#This Row],[PMT NO]]&lt;&gt;"",SUM(INDEX(PaymentSchedule[INTEREST],1,1):PaymentSchedule[[#This Row],[INTEREST]]),"")</f>
        <v>#VALUE!</v>
      </c>
    </row>
    <row r="92" spans="2:11">
      <c r="B92" s="10">
        <f ca="1">IF(LoanIsGood,IF(ROW()-ROW(PaymentSchedule[[#Headers],[PMT NO]])&gt;ScheduledNumberOfPayments,"",ROW()-ROW(PaymentSchedule[[#Headers],[PMT NO]])),"")</f>
        <v>76</v>
      </c>
      <c r="C92" s="12">
        <f ca="1">IF(PaymentSchedule[[#This Row],[PMT NO]]&lt;&gt;"",EOMONTH(LoanStartDate,ROW(PaymentSchedule[[#This Row],[PMT NO]])-ROW(PaymentSchedule[[#Headers],[PMT NO]])-2)+DAY(LoanStartDate),"")</f>
        <v>48246</v>
      </c>
      <c r="D9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2" s="14">
        <f ca="1">IF(PaymentSchedule[[#This Row],[PMT NO]]&lt;&gt;"",ScheduledPayment,"")</f>
        <v>1073.6432460242781</v>
      </c>
      <c r="F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2" s="14" t="e">
        <f ca="1">IF(PaymentSchedule[[#This Row],[PMT NO]]&lt;&gt;"",PaymentSchedule[[#This Row],[TOTAL PAYMENT]]-PaymentSchedule[[#This Row],[INTEREST]],"")</f>
        <v>#VALUE!</v>
      </c>
      <c r="I92" s="14" t="e">
        <f ca="1">IF(PaymentSchedule[[#This Row],[PMT NO]]&lt;&gt;"",PaymentSchedule[[#This Row],[BEGINNING BALANCE]]*(InterestRate/PaymentsPerYear),"")</f>
        <v>#VALUE!</v>
      </c>
      <c r="J92" s="14" t="s">
        <v>32</v>
      </c>
      <c r="K92" s="14" t="e">
        <f ca="1">IF(PaymentSchedule[[#This Row],[PMT NO]]&lt;&gt;"",SUM(INDEX(PaymentSchedule[INTEREST],1,1):PaymentSchedule[[#This Row],[INTEREST]]),"")</f>
        <v>#VALUE!</v>
      </c>
    </row>
    <row r="93" spans="2:11">
      <c r="B93" s="10">
        <f ca="1">IF(LoanIsGood,IF(ROW()-ROW(PaymentSchedule[[#Headers],[PMT NO]])&gt;ScheduledNumberOfPayments,"",ROW()-ROW(PaymentSchedule[[#Headers],[PMT NO]])),"")</f>
        <v>77</v>
      </c>
      <c r="C93" s="12">
        <f ca="1">IF(PaymentSchedule[[#This Row],[PMT NO]]&lt;&gt;"",EOMONTH(LoanStartDate,ROW(PaymentSchedule[[#This Row],[PMT NO]])-ROW(PaymentSchedule[[#Headers],[PMT NO]])-2)+DAY(LoanStartDate),"")</f>
        <v>48275</v>
      </c>
      <c r="D9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3" s="14">
        <f ca="1">IF(PaymentSchedule[[#This Row],[PMT NO]]&lt;&gt;"",ScheduledPayment,"")</f>
        <v>1073.6432460242781</v>
      </c>
      <c r="F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3" s="14" t="e">
        <f ca="1">IF(PaymentSchedule[[#This Row],[PMT NO]]&lt;&gt;"",PaymentSchedule[[#This Row],[TOTAL PAYMENT]]-PaymentSchedule[[#This Row],[INTEREST]],"")</f>
        <v>#VALUE!</v>
      </c>
      <c r="I93" s="14" t="e">
        <f ca="1">IF(PaymentSchedule[[#This Row],[PMT NO]]&lt;&gt;"",PaymentSchedule[[#This Row],[BEGINNING BALANCE]]*(InterestRate/PaymentsPerYear),"")</f>
        <v>#VALUE!</v>
      </c>
      <c r="J93" s="14" t="s">
        <v>32</v>
      </c>
      <c r="K93" s="14" t="e">
        <f ca="1">IF(PaymentSchedule[[#This Row],[PMT NO]]&lt;&gt;"",SUM(INDEX(PaymentSchedule[INTEREST],1,1):PaymentSchedule[[#This Row],[INTEREST]]),"")</f>
        <v>#VALUE!</v>
      </c>
    </row>
    <row r="94" spans="2:11">
      <c r="B94" s="10">
        <f ca="1">IF(LoanIsGood,IF(ROW()-ROW(PaymentSchedule[[#Headers],[PMT NO]])&gt;ScheduledNumberOfPayments,"",ROW()-ROW(PaymentSchedule[[#Headers],[PMT NO]])),"")</f>
        <v>78</v>
      </c>
      <c r="C94" s="12">
        <f ca="1">IF(PaymentSchedule[[#This Row],[PMT NO]]&lt;&gt;"",EOMONTH(LoanStartDate,ROW(PaymentSchedule[[#This Row],[PMT NO]])-ROW(PaymentSchedule[[#Headers],[PMT NO]])-2)+DAY(LoanStartDate),"")</f>
        <v>48306</v>
      </c>
      <c r="D9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4" s="14">
        <f ca="1">IF(PaymentSchedule[[#This Row],[PMT NO]]&lt;&gt;"",ScheduledPayment,"")</f>
        <v>1073.6432460242781</v>
      </c>
      <c r="F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4" s="14" t="e">
        <f ca="1">IF(PaymentSchedule[[#This Row],[PMT NO]]&lt;&gt;"",PaymentSchedule[[#This Row],[TOTAL PAYMENT]]-PaymentSchedule[[#This Row],[INTEREST]],"")</f>
        <v>#VALUE!</v>
      </c>
      <c r="I94" s="14" t="e">
        <f ca="1">IF(PaymentSchedule[[#This Row],[PMT NO]]&lt;&gt;"",PaymentSchedule[[#This Row],[BEGINNING BALANCE]]*(InterestRate/PaymentsPerYear),"")</f>
        <v>#VALUE!</v>
      </c>
      <c r="J94" s="14" t="s">
        <v>32</v>
      </c>
      <c r="K94" s="14" t="e">
        <f ca="1">IF(PaymentSchedule[[#This Row],[PMT NO]]&lt;&gt;"",SUM(INDEX(PaymentSchedule[INTEREST],1,1):PaymentSchedule[[#This Row],[INTEREST]]),"")</f>
        <v>#VALUE!</v>
      </c>
    </row>
    <row r="95" spans="2:11">
      <c r="B95" s="10">
        <f ca="1">IF(LoanIsGood,IF(ROW()-ROW(PaymentSchedule[[#Headers],[PMT NO]])&gt;ScheduledNumberOfPayments,"",ROW()-ROW(PaymentSchedule[[#Headers],[PMT NO]])),"")</f>
        <v>79</v>
      </c>
      <c r="C95" s="12">
        <f ca="1">IF(PaymentSchedule[[#This Row],[PMT NO]]&lt;&gt;"",EOMONTH(LoanStartDate,ROW(PaymentSchedule[[#This Row],[PMT NO]])-ROW(PaymentSchedule[[#Headers],[PMT NO]])-2)+DAY(LoanStartDate),"")</f>
        <v>48336</v>
      </c>
      <c r="D9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5" s="14">
        <f ca="1">IF(PaymentSchedule[[#This Row],[PMT NO]]&lt;&gt;"",ScheduledPayment,"")</f>
        <v>1073.6432460242781</v>
      </c>
      <c r="F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5" s="14" t="e">
        <f ca="1">IF(PaymentSchedule[[#This Row],[PMT NO]]&lt;&gt;"",PaymentSchedule[[#This Row],[TOTAL PAYMENT]]-PaymentSchedule[[#This Row],[INTEREST]],"")</f>
        <v>#VALUE!</v>
      </c>
      <c r="I95" s="14" t="e">
        <f ca="1">IF(PaymentSchedule[[#This Row],[PMT NO]]&lt;&gt;"",PaymentSchedule[[#This Row],[BEGINNING BALANCE]]*(InterestRate/PaymentsPerYear),"")</f>
        <v>#VALUE!</v>
      </c>
      <c r="J95" s="14" t="s">
        <v>32</v>
      </c>
      <c r="K95" s="14" t="e">
        <f ca="1">IF(PaymentSchedule[[#This Row],[PMT NO]]&lt;&gt;"",SUM(INDEX(PaymentSchedule[INTEREST],1,1):PaymentSchedule[[#This Row],[INTEREST]]),"")</f>
        <v>#VALUE!</v>
      </c>
    </row>
    <row r="96" spans="2:11">
      <c r="B96" s="10">
        <f ca="1">IF(LoanIsGood,IF(ROW()-ROW(PaymentSchedule[[#Headers],[PMT NO]])&gt;ScheduledNumberOfPayments,"",ROW()-ROW(PaymentSchedule[[#Headers],[PMT NO]])),"")</f>
        <v>80</v>
      </c>
      <c r="C96" s="12">
        <f ca="1">IF(PaymentSchedule[[#This Row],[PMT NO]]&lt;&gt;"",EOMONTH(LoanStartDate,ROW(PaymentSchedule[[#This Row],[PMT NO]])-ROW(PaymentSchedule[[#Headers],[PMT NO]])-2)+DAY(LoanStartDate),"")</f>
        <v>48367</v>
      </c>
      <c r="D9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6" s="14">
        <f ca="1">IF(PaymentSchedule[[#This Row],[PMT NO]]&lt;&gt;"",ScheduledPayment,"")</f>
        <v>1073.6432460242781</v>
      </c>
      <c r="F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6" s="14" t="e">
        <f ca="1">IF(PaymentSchedule[[#This Row],[PMT NO]]&lt;&gt;"",PaymentSchedule[[#This Row],[TOTAL PAYMENT]]-PaymentSchedule[[#This Row],[INTEREST]],"")</f>
        <v>#VALUE!</v>
      </c>
      <c r="I96" s="14" t="e">
        <f ca="1">IF(PaymentSchedule[[#This Row],[PMT NO]]&lt;&gt;"",PaymentSchedule[[#This Row],[BEGINNING BALANCE]]*(InterestRate/PaymentsPerYear),"")</f>
        <v>#VALUE!</v>
      </c>
      <c r="J96" s="14" t="s">
        <v>32</v>
      </c>
      <c r="K96" s="14" t="e">
        <f ca="1">IF(PaymentSchedule[[#This Row],[PMT NO]]&lt;&gt;"",SUM(INDEX(PaymentSchedule[INTEREST],1,1):PaymentSchedule[[#This Row],[INTEREST]]),"")</f>
        <v>#VALUE!</v>
      </c>
    </row>
    <row r="97" spans="2:11">
      <c r="B97" s="10">
        <f ca="1">IF(LoanIsGood,IF(ROW()-ROW(PaymentSchedule[[#Headers],[PMT NO]])&gt;ScheduledNumberOfPayments,"",ROW()-ROW(PaymentSchedule[[#Headers],[PMT NO]])),"")</f>
        <v>81</v>
      </c>
      <c r="C97" s="12">
        <f ca="1">IF(PaymentSchedule[[#This Row],[PMT NO]]&lt;&gt;"",EOMONTH(LoanStartDate,ROW(PaymentSchedule[[#This Row],[PMT NO]])-ROW(PaymentSchedule[[#Headers],[PMT NO]])-2)+DAY(LoanStartDate),"")</f>
        <v>48397</v>
      </c>
      <c r="D9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7" s="14">
        <f ca="1">IF(PaymentSchedule[[#This Row],[PMT NO]]&lt;&gt;"",ScheduledPayment,"")</f>
        <v>1073.6432460242781</v>
      </c>
      <c r="F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7" s="14" t="e">
        <f ca="1">IF(PaymentSchedule[[#This Row],[PMT NO]]&lt;&gt;"",PaymentSchedule[[#This Row],[TOTAL PAYMENT]]-PaymentSchedule[[#This Row],[INTEREST]],"")</f>
        <v>#VALUE!</v>
      </c>
      <c r="I97" s="14" t="e">
        <f ca="1">IF(PaymentSchedule[[#This Row],[PMT NO]]&lt;&gt;"",PaymentSchedule[[#This Row],[BEGINNING BALANCE]]*(InterestRate/PaymentsPerYear),"")</f>
        <v>#VALUE!</v>
      </c>
      <c r="J97" s="14" t="s">
        <v>32</v>
      </c>
      <c r="K97" s="14" t="e">
        <f ca="1">IF(PaymentSchedule[[#This Row],[PMT NO]]&lt;&gt;"",SUM(INDEX(PaymentSchedule[INTEREST],1,1):PaymentSchedule[[#This Row],[INTEREST]]),"")</f>
        <v>#VALUE!</v>
      </c>
    </row>
    <row r="98" spans="2:11">
      <c r="B98" s="10">
        <f ca="1">IF(LoanIsGood,IF(ROW()-ROW(PaymentSchedule[[#Headers],[PMT NO]])&gt;ScheduledNumberOfPayments,"",ROW()-ROW(PaymentSchedule[[#Headers],[PMT NO]])),"")</f>
        <v>82</v>
      </c>
      <c r="C98" s="12">
        <f ca="1">IF(PaymentSchedule[[#This Row],[PMT NO]]&lt;&gt;"",EOMONTH(LoanStartDate,ROW(PaymentSchedule[[#This Row],[PMT NO]])-ROW(PaymentSchedule[[#Headers],[PMT NO]])-2)+DAY(LoanStartDate),"")</f>
        <v>48428</v>
      </c>
      <c r="D9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8" s="14">
        <f ca="1">IF(PaymentSchedule[[#This Row],[PMT NO]]&lt;&gt;"",ScheduledPayment,"")</f>
        <v>1073.6432460242781</v>
      </c>
      <c r="F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8" s="14" t="e">
        <f ca="1">IF(PaymentSchedule[[#This Row],[PMT NO]]&lt;&gt;"",PaymentSchedule[[#This Row],[TOTAL PAYMENT]]-PaymentSchedule[[#This Row],[INTEREST]],"")</f>
        <v>#VALUE!</v>
      </c>
      <c r="I98" s="14" t="e">
        <f ca="1">IF(PaymentSchedule[[#This Row],[PMT NO]]&lt;&gt;"",PaymentSchedule[[#This Row],[BEGINNING BALANCE]]*(InterestRate/PaymentsPerYear),"")</f>
        <v>#VALUE!</v>
      </c>
      <c r="J98" s="14" t="s">
        <v>32</v>
      </c>
      <c r="K98" s="14" t="e">
        <f ca="1">IF(PaymentSchedule[[#This Row],[PMT NO]]&lt;&gt;"",SUM(INDEX(PaymentSchedule[INTEREST],1,1):PaymentSchedule[[#This Row],[INTEREST]]),"")</f>
        <v>#VALUE!</v>
      </c>
    </row>
    <row r="99" spans="2:11">
      <c r="B99" s="10">
        <f ca="1">IF(LoanIsGood,IF(ROW()-ROW(PaymentSchedule[[#Headers],[PMT NO]])&gt;ScheduledNumberOfPayments,"",ROW()-ROW(PaymentSchedule[[#Headers],[PMT NO]])),"")</f>
        <v>83</v>
      </c>
      <c r="C99" s="12">
        <f ca="1">IF(PaymentSchedule[[#This Row],[PMT NO]]&lt;&gt;"",EOMONTH(LoanStartDate,ROW(PaymentSchedule[[#This Row],[PMT NO]])-ROW(PaymentSchedule[[#Headers],[PMT NO]])-2)+DAY(LoanStartDate),"")</f>
        <v>48459</v>
      </c>
      <c r="D9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99" s="14">
        <f ca="1">IF(PaymentSchedule[[#This Row],[PMT NO]]&lt;&gt;"",ScheduledPayment,"")</f>
        <v>1073.6432460242781</v>
      </c>
      <c r="F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9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99" s="14" t="e">
        <f ca="1">IF(PaymentSchedule[[#This Row],[PMT NO]]&lt;&gt;"",PaymentSchedule[[#This Row],[TOTAL PAYMENT]]-PaymentSchedule[[#This Row],[INTEREST]],"")</f>
        <v>#VALUE!</v>
      </c>
      <c r="I99" s="14" t="e">
        <f ca="1">IF(PaymentSchedule[[#This Row],[PMT NO]]&lt;&gt;"",PaymentSchedule[[#This Row],[BEGINNING BALANCE]]*(InterestRate/PaymentsPerYear),"")</f>
        <v>#VALUE!</v>
      </c>
      <c r="J99" s="14" t="s">
        <v>32</v>
      </c>
      <c r="K99" s="14" t="e">
        <f ca="1">IF(PaymentSchedule[[#This Row],[PMT NO]]&lt;&gt;"",SUM(INDEX(PaymentSchedule[INTEREST],1,1):PaymentSchedule[[#This Row],[INTEREST]]),"")</f>
        <v>#VALUE!</v>
      </c>
    </row>
    <row r="100" spans="2:11">
      <c r="B100" s="10">
        <f ca="1">IF(LoanIsGood,IF(ROW()-ROW(PaymentSchedule[[#Headers],[PMT NO]])&gt;ScheduledNumberOfPayments,"",ROW()-ROW(PaymentSchedule[[#Headers],[PMT NO]])),"")</f>
        <v>84</v>
      </c>
      <c r="C100" s="12">
        <f ca="1">IF(PaymentSchedule[[#This Row],[PMT NO]]&lt;&gt;"",EOMONTH(LoanStartDate,ROW(PaymentSchedule[[#This Row],[PMT NO]])-ROW(PaymentSchedule[[#Headers],[PMT NO]])-2)+DAY(LoanStartDate),"")</f>
        <v>48489</v>
      </c>
      <c r="D10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0" s="14">
        <f ca="1">IF(PaymentSchedule[[#This Row],[PMT NO]]&lt;&gt;"",ScheduledPayment,"")</f>
        <v>1073.6432460242781</v>
      </c>
      <c r="F1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0" s="14" t="e">
        <f ca="1">IF(PaymentSchedule[[#This Row],[PMT NO]]&lt;&gt;"",PaymentSchedule[[#This Row],[TOTAL PAYMENT]]-PaymentSchedule[[#This Row],[INTEREST]],"")</f>
        <v>#VALUE!</v>
      </c>
      <c r="I100" s="14" t="e">
        <f ca="1">IF(PaymentSchedule[[#This Row],[PMT NO]]&lt;&gt;"",PaymentSchedule[[#This Row],[BEGINNING BALANCE]]*(InterestRate/PaymentsPerYear),"")</f>
        <v>#VALUE!</v>
      </c>
      <c r="J100" s="14" t="s">
        <v>32</v>
      </c>
      <c r="K100" s="14" t="e">
        <f ca="1">IF(PaymentSchedule[[#This Row],[PMT NO]]&lt;&gt;"",SUM(INDEX(PaymentSchedule[INTEREST],1,1):PaymentSchedule[[#This Row],[INTEREST]]),"")</f>
        <v>#VALUE!</v>
      </c>
    </row>
    <row r="101" spans="2:11">
      <c r="B101" s="10">
        <f ca="1">IF(LoanIsGood,IF(ROW()-ROW(PaymentSchedule[[#Headers],[PMT NO]])&gt;ScheduledNumberOfPayments,"",ROW()-ROW(PaymentSchedule[[#Headers],[PMT NO]])),"")</f>
        <v>85</v>
      </c>
      <c r="C101" s="12">
        <f ca="1">IF(PaymentSchedule[[#This Row],[PMT NO]]&lt;&gt;"",EOMONTH(LoanStartDate,ROW(PaymentSchedule[[#This Row],[PMT NO]])-ROW(PaymentSchedule[[#Headers],[PMT NO]])-2)+DAY(LoanStartDate),"")</f>
        <v>48520</v>
      </c>
      <c r="D10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1" s="14">
        <f ca="1">IF(PaymentSchedule[[#This Row],[PMT NO]]&lt;&gt;"",ScheduledPayment,"")</f>
        <v>1073.6432460242781</v>
      </c>
      <c r="F1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1" s="14" t="e">
        <f ca="1">IF(PaymentSchedule[[#This Row],[PMT NO]]&lt;&gt;"",PaymentSchedule[[#This Row],[TOTAL PAYMENT]]-PaymentSchedule[[#This Row],[INTEREST]],"")</f>
        <v>#VALUE!</v>
      </c>
      <c r="I101" s="14" t="e">
        <f ca="1">IF(PaymentSchedule[[#This Row],[PMT NO]]&lt;&gt;"",PaymentSchedule[[#This Row],[BEGINNING BALANCE]]*(InterestRate/PaymentsPerYear),"")</f>
        <v>#VALUE!</v>
      </c>
      <c r="J101" s="14" t="s">
        <v>32</v>
      </c>
      <c r="K101" s="14" t="e">
        <f ca="1">IF(PaymentSchedule[[#This Row],[PMT NO]]&lt;&gt;"",SUM(INDEX(PaymentSchedule[INTEREST],1,1):PaymentSchedule[[#This Row],[INTEREST]]),"")</f>
        <v>#VALUE!</v>
      </c>
    </row>
    <row r="102" spans="2:11">
      <c r="B102" s="10">
        <f ca="1">IF(LoanIsGood,IF(ROW()-ROW(PaymentSchedule[[#Headers],[PMT NO]])&gt;ScheduledNumberOfPayments,"",ROW()-ROW(PaymentSchedule[[#Headers],[PMT NO]])),"")</f>
        <v>86</v>
      </c>
      <c r="C102" s="12">
        <f ca="1">IF(PaymentSchedule[[#This Row],[PMT NO]]&lt;&gt;"",EOMONTH(LoanStartDate,ROW(PaymentSchedule[[#This Row],[PMT NO]])-ROW(PaymentSchedule[[#Headers],[PMT NO]])-2)+DAY(LoanStartDate),"")</f>
        <v>48550</v>
      </c>
      <c r="D10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2" s="14">
        <f ca="1">IF(PaymentSchedule[[#This Row],[PMT NO]]&lt;&gt;"",ScheduledPayment,"")</f>
        <v>1073.6432460242781</v>
      </c>
      <c r="F1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2" s="14" t="e">
        <f ca="1">IF(PaymentSchedule[[#This Row],[PMT NO]]&lt;&gt;"",PaymentSchedule[[#This Row],[TOTAL PAYMENT]]-PaymentSchedule[[#This Row],[INTEREST]],"")</f>
        <v>#VALUE!</v>
      </c>
      <c r="I102" s="14" t="e">
        <f ca="1">IF(PaymentSchedule[[#This Row],[PMT NO]]&lt;&gt;"",PaymentSchedule[[#This Row],[BEGINNING BALANCE]]*(InterestRate/PaymentsPerYear),"")</f>
        <v>#VALUE!</v>
      </c>
      <c r="J102" s="14" t="s">
        <v>32</v>
      </c>
      <c r="K102" s="14" t="e">
        <f ca="1">IF(PaymentSchedule[[#This Row],[PMT NO]]&lt;&gt;"",SUM(INDEX(PaymentSchedule[INTEREST],1,1):PaymentSchedule[[#This Row],[INTEREST]]),"")</f>
        <v>#VALUE!</v>
      </c>
    </row>
    <row r="103" spans="2:11">
      <c r="B103" s="10">
        <f ca="1">IF(LoanIsGood,IF(ROW()-ROW(PaymentSchedule[[#Headers],[PMT NO]])&gt;ScheduledNumberOfPayments,"",ROW()-ROW(PaymentSchedule[[#Headers],[PMT NO]])),"")</f>
        <v>87</v>
      </c>
      <c r="C103" s="12">
        <f ca="1">IF(PaymentSchedule[[#This Row],[PMT NO]]&lt;&gt;"",EOMONTH(LoanStartDate,ROW(PaymentSchedule[[#This Row],[PMT NO]])-ROW(PaymentSchedule[[#Headers],[PMT NO]])-2)+DAY(LoanStartDate),"")</f>
        <v>48581</v>
      </c>
      <c r="D10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3" s="14">
        <f ca="1">IF(PaymentSchedule[[#This Row],[PMT NO]]&lt;&gt;"",ScheduledPayment,"")</f>
        <v>1073.6432460242781</v>
      </c>
      <c r="F1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3" s="14" t="e">
        <f ca="1">IF(PaymentSchedule[[#This Row],[PMT NO]]&lt;&gt;"",PaymentSchedule[[#This Row],[TOTAL PAYMENT]]-PaymentSchedule[[#This Row],[INTEREST]],"")</f>
        <v>#VALUE!</v>
      </c>
      <c r="I103" s="14" t="e">
        <f ca="1">IF(PaymentSchedule[[#This Row],[PMT NO]]&lt;&gt;"",PaymentSchedule[[#This Row],[BEGINNING BALANCE]]*(InterestRate/PaymentsPerYear),"")</f>
        <v>#VALUE!</v>
      </c>
      <c r="J103" s="14" t="s">
        <v>32</v>
      </c>
      <c r="K103" s="14" t="e">
        <f ca="1">IF(PaymentSchedule[[#This Row],[PMT NO]]&lt;&gt;"",SUM(INDEX(PaymentSchedule[INTEREST],1,1):PaymentSchedule[[#This Row],[INTEREST]]),"")</f>
        <v>#VALUE!</v>
      </c>
    </row>
    <row r="104" spans="2:11">
      <c r="B104" s="10">
        <f ca="1">IF(LoanIsGood,IF(ROW()-ROW(PaymentSchedule[[#Headers],[PMT NO]])&gt;ScheduledNumberOfPayments,"",ROW()-ROW(PaymentSchedule[[#Headers],[PMT NO]])),"")</f>
        <v>88</v>
      </c>
      <c r="C104" s="12">
        <f ca="1">IF(PaymentSchedule[[#This Row],[PMT NO]]&lt;&gt;"",EOMONTH(LoanStartDate,ROW(PaymentSchedule[[#This Row],[PMT NO]])-ROW(PaymentSchedule[[#Headers],[PMT NO]])-2)+DAY(LoanStartDate),"")</f>
        <v>48612</v>
      </c>
      <c r="D10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4" s="14">
        <f ca="1">IF(PaymentSchedule[[#This Row],[PMT NO]]&lt;&gt;"",ScheduledPayment,"")</f>
        <v>1073.6432460242781</v>
      </c>
      <c r="F1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4" s="14" t="e">
        <f ca="1">IF(PaymentSchedule[[#This Row],[PMT NO]]&lt;&gt;"",PaymentSchedule[[#This Row],[TOTAL PAYMENT]]-PaymentSchedule[[#This Row],[INTEREST]],"")</f>
        <v>#VALUE!</v>
      </c>
      <c r="I104" s="14" t="e">
        <f ca="1">IF(PaymentSchedule[[#This Row],[PMT NO]]&lt;&gt;"",PaymentSchedule[[#This Row],[BEGINNING BALANCE]]*(InterestRate/PaymentsPerYear),"")</f>
        <v>#VALUE!</v>
      </c>
      <c r="J104" s="14" t="s">
        <v>32</v>
      </c>
      <c r="K104" s="14" t="e">
        <f ca="1">IF(PaymentSchedule[[#This Row],[PMT NO]]&lt;&gt;"",SUM(INDEX(PaymentSchedule[INTEREST],1,1):PaymentSchedule[[#This Row],[INTEREST]]),"")</f>
        <v>#VALUE!</v>
      </c>
    </row>
    <row r="105" spans="2:11">
      <c r="B105" s="10">
        <f ca="1">IF(LoanIsGood,IF(ROW()-ROW(PaymentSchedule[[#Headers],[PMT NO]])&gt;ScheduledNumberOfPayments,"",ROW()-ROW(PaymentSchedule[[#Headers],[PMT NO]])),"")</f>
        <v>89</v>
      </c>
      <c r="C105" s="12">
        <f ca="1">IF(PaymentSchedule[[#This Row],[PMT NO]]&lt;&gt;"",EOMONTH(LoanStartDate,ROW(PaymentSchedule[[#This Row],[PMT NO]])-ROW(PaymentSchedule[[#Headers],[PMT NO]])-2)+DAY(LoanStartDate),"")</f>
        <v>48640</v>
      </c>
      <c r="D10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5" s="14">
        <f ca="1">IF(PaymentSchedule[[#This Row],[PMT NO]]&lt;&gt;"",ScheduledPayment,"")</f>
        <v>1073.6432460242781</v>
      </c>
      <c r="F1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5" s="14" t="e">
        <f ca="1">IF(PaymentSchedule[[#This Row],[PMT NO]]&lt;&gt;"",PaymentSchedule[[#This Row],[TOTAL PAYMENT]]-PaymentSchedule[[#This Row],[INTEREST]],"")</f>
        <v>#VALUE!</v>
      </c>
      <c r="I105" s="14" t="e">
        <f ca="1">IF(PaymentSchedule[[#This Row],[PMT NO]]&lt;&gt;"",PaymentSchedule[[#This Row],[BEGINNING BALANCE]]*(InterestRate/PaymentsPerYear),"")</f>
        <v>#VALUE!</v>
      </c>
      <c r="J105" s="14" t="s">
        <v>32</v>
      </c>
      <c r="K105" s="14" t="e">
        <f ca="1">IF(PaymentSchedule[[#This Row],[PMT NO]]&lt;&gt;"",SUM(INDEX(PaymentSchedule[INTEREST],1,1):PaymentSchedule[[#This Row],[INTEREST]]),"")</f>
        <v>#VALUE!</v>
      </c>
    </row>
    <row r="106" spans="2:11">
      <c r="B106" s="10">
        <f ca="1">IF(LoanIsGood,IF(ROW()-ROW(PaymentSchedule[[#Headers],[PMT NO]])&gt;ScheduledNumberOfPayments,"",ROW()-ROW(PaymentSchedule[[#Headers],[PMT NO]])),"")</f>
        <v>90</v>
      </c>
      <c r="C106" s="12">
        <f ca="1">IF(PaymentSchedule[[#This Row],[PMT NO]]&lt;&gt;"",EOMONTH(LoanStartDate,ROW(PaymentSchedule[[#This Row],[PMT NO]])-ROW(PaymentSchedule[[#Headers],[PMT NO]])-2)+DAY(LoanStartDate),"")</f>
        <v>48671</v>
      </c>
      <c r="D10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6" s="14">
        <f ca="1">IF(PaymentSchedule[[#This Row],[PMT NO]]&lt;&gt;"",ScheduledPayment,"")</f>
        <v>1073.6432460242781</v>
      </c>
      <c r="F1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6" s="14" t="e">
        <f ca="1">IF(PaymentSchedule[[#This Row],[PMT NO]]&lt;&gt;"",PaymentSchedule[[#This Row],[TOTAL PAYMENT]]-PaymentSchedule[[#This Row],[INTEREST]],"")</f>
        <v>#VALUE!</v>
      </c>
      <c r="I106" s="14" t="e">
        <f ca="1">IF(PaymentSchedule[[#This Row],[PMT NO]]&lt;&gt;"",PaymentSchedule[[#This Row],[BEGINNING BALANCE]]*(InterestRate/PaymentsPerYear),"")</f>
        <v>#VALUE!</v>
      </c>
      <c r="J106" s="14" t="s">
        <v>32</v>
      </c>
      <c r="K106" s="14" t="e">
        <f ca="1">IF(PaymentSchedule[[#This Row],[PMT NO]]&lt;&gt;"",SUM(INDEX(PaymentSchedule[INTEREST],1,1):PaymentSchedule[[#This Row],[INTEREST]]),"")</f>
        <v>#VALUE!</v>
      </c>
    </row>
    <row r="107" spans="2:11">
      <c r="B107" s="10">
        <f ca="1">IF(LoanIsGood,IF(ROW()-ROW(PaymentSchedule[[#Headers],[PMT NO]])&gt;ScheduledNumberOfPayments,"",ROW()-ROW(PaymentSchedule[[#Headers],[PMT NO]])),"")</f>
        <v>91</v>
      </c>
      <c r="C107" s="12">
        <f ca="1">IF(PaymentSchedule[[#This Row],[PMT NO]]&lt;&gt;"",EOMONTH(LoanStartDate,ROW(PaymentSchedule[[#This Row],[PMT NO]])-ROW(PaymentSchedule[[#Headers],[PMT NO]])-2)+DAY(LoanStartDate),"")</f>
        <v>48701</v>
      </c>
      <c r="D10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7" s="14">
        <f ca="1">IF(PaymentSchedule[[#This Row],[PMT NO]]&lt;&gt;"",ScheduledPayment,"")</f>
        <v>1073.6432460242781</v>
      </c>
      <c r="F1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7" s="14" t="e">
        <f ca="1">IF(PaymentSchedule[[#This Row],[PMT NO]]&lt;&gt;"",PaymentSchedule[[#This Row],[TOTAL PAYMENT]]-PaymentSchedule[[#This Row],[INTEREST]],"")</f>
        <v>#VALUE!</v>
      </c>
      <c r="I107" s="14" t="e">
        <f ca="1">IF(PaymentSchedule[[#This Row],[PMT NO]]&lt;&gt;"",PaymentSchedule[[#This Row],[BEGINNING BALANCE]]*(InterestRate/PaymentsPerYear),"")</f>
        <v>#VALUE!</v>
      </c>
      <c r="J107" s="14" t="s">
        <v>32</v>
      </c>
      <c r="K107" s="14" t="e">
        <f ca="1">IF(PaymentSchedule[[#This Row],[PMT NO]]&lt;&gt;"",SUM(INDEX(PaymentSchedule[INTEREST],1,1):PaymentSchedule[[#This Row],[INTEREST]]),"")</f>
        <v>#VALUE!</v>
      </c>
    </row>
    <row r="108" spans="2:11">
      <c r="B108" s="10">
        <f ca="1">IF(LoanIsGood,IF(ROW()-ROW(PaymentSchedule[[#Headers],[PMT NO]])&gt;ScheduledNumberOfPayments,"",ROW()-ROW(PaymentSchedule[[#Headers],[PMT NO]])),"")</f>
        <v>92</v>
      </c>
      <c r="C108" s="12">
        <f ca="1">IF(PaymentSchedule[[#This Row],[PMT NO]]&lt;&gt;"",EOMONTH(LoanStartDate,ROW(PaymentSchedule[[#This Row],[PMT NO]])-ROW(PaymentSchedule[[#Headers],[PMT NO]])-2)+DAY(LoanStartDate),"")</f>
        <v>48732</v>
      </c>
      <c r="D10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8" s="14">
        <f ca="1">IF(PaymentSchedule[[#This Row],[PMT NO]]&lt;&gt;"",ScheduledPayment,"")</f>
        <v>1073.6432460242781</v>
      </c>
      <c r="F1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8" s="14" t="e">
        <f ca="1">IF(PaymentSchedule[[#This Row],[PMT NO]]&lt;&gt;"",PaymentSchedule[[#This Row],[TOTAL PAYMENT]]-PaymentSchedule[[#This Row],[INTEREST]],"")</f>
        <v>#VALUE!</v>
      </c>
      <c r="I108" s="14" t="e">
        <f ca="1">IF(PaymentSchedule[[#This Row],[PMT NO]]&lt;&gt;"",PaymentSchedule[[#This Row],[BEGINNING BALANCE]]*(InterestRate/PaymentsPerYear),"")</f>
        <v>#VALUE!</v>
      </c>
      <c r="J108" s="14" t="s">
        <v>32</v>
      </c>
      <c r="K108" s="14" t="e">
        <f ca="1">IF(PaymentSchedule[[#This Row],[PMT NO]]&lt;&gt;"",SUM(INDEX(PaymentSchedule[INTEREST],1,1):PaymentSchedule[[#This Row],[INTEREST]]),"")</f>
        <v>#VALUE!</v>
      </c>
    </row>
    <row r="109" spans="2:11">
      <c r="B109" s="10">
        <f ca="1">IF(LoanIsGood,IF(ROW()-ROW(PaymentSchedule[[#Headers],[PMT NO]])&gt;ScheduledNumberOfPayments,"",ROW()-ROW(PaymentSchedule[[#Headers],[PMT NO]])),"")</f>
        <v>93</v>
      </c>
      <c r="C109" s="12">
        <f ca="1">IF(PaymentSchedule[[#This Row],[PMT NO]]&lt;&gt;"",EOMONTH(LoanStartDate,ROW(PaymentSchedule[[#This Row],[PMT NO]])-ROW(PaymentSchedule[[#Headers],[PMT NO]])-2)+DAY(LoanStartDate),"")</f>
        <v>48762</v>
      </c>
      <c r="D10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09" s="14">
        <f ca="1">IF(PaymentSchedule[[#This Row],[PMT NO]]&lt;&gt;"",ScheduledPayment,"")</f>
        <v>1073.6432460242781</v>
      </c>
      <c r="F1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0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09" s="14" t="e">
        <f ca="1">IF(PaymentSchedule[[#This Row],[PMT NO]]&lt;&gt;"",PaymentSchedule[[#This Row],[TOTAL PAYMENT]]-PaymentSchedule[[#This Row],[INTEREST]],"")</f>
        <v>#VALUE!</v>
      </c>
      <c r="I109" s="14" t="e">
        <f ca="1">IF(PaymentSchedule[[#This Row],[PMT NO]]&lt;&gt;"",PaymentSchedule[[#This Row],[BEGINNING BALANCE]]*(InterestRate/PaymentsPerYear),"")</f>
        <v>#VALUE!</v>
      </c>
      <c r="J109" s="14" t="s">
        <v>32</v>
      </c>
      <c r="K109" s="14" t="e">
        <f ca="1">IF(PaymentSchedule[[#This Row],[PMT NO]]&lt;&gt;"",SUM(INDEX(PaymentSchedule[INTEREST],1,1):PaymentSchedule[[#This Row],[INTEREST]]),"")</f>
        <v>#VALUE!</v>
      </c>
    </row>
    <row r="110" spans="2:11">
      <c r="B110" s="10">
        <f ca="1">IF(LoanIsGood,IF(ROW()-ROW(PaymentSchedule[[#Headers],[PMT NO]])&gt;ScheduledNumberOfPayments,"",ROW()-ROW(PaymentSchedule[[#Headers],[PMT NO]])),"")</f>
        <v>94</v>
      </c>
      <c r="C110" s="12">
        <f ca="1">IF(PaymentSchedule[[#This Row],[PMT NO]]&lt;&gt;"",EOMONTH(LoanStartDate,ROW(PaymentSchedule[[#This Row],[PMT NO]])-ROW(PaymentSchedule[[#Headers],[PMT NO]])-2)+DAY(LoanStartDate),"")</f>
        <v>48793</v>
      </c>
      <c r="D11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0" s="14">
        <f ca="1">IF(PaymentSchedule[[#This Row],[PMT NO]]&lt;&gt;"",ScheduledPayment,"")</f>
        <v>1073.6432460242781</v>
      </c>
      <c r="F1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0" s="14" t="e">
        <f ca="1">IF(PaymentSchedule[[#This Row],[PMT NO]]&lt;&gt;"",PaymentSchedule[[#This Row],[TOTAL PAYMENT]]-PaymentSchedule[[#This Row],[INTEREST]],"")</f>
        <v>#VALUE!</v>
      </c>
      <c r="I110" s="14" t="e">
        <f ca="1">IF(PaymentSchedule[[#This Row],[PMT NO]]&lt;&gt;"",PaymentSchedule[[#This Row],[BEGINNING BALANCE]]*(InterestRate/PaymentsPerYear),"")</f>
        <v>#VALUE!</v>
      </c>
      <c r="J110" s="14" t="s">
        <v>32</v>
      </c>
      <c r="K110" s="14" t="e">
        <f ca="1">IF(PaymentSchedule[[#This Row],[PMT NO]]&lt;&gt;"",SUM(INDEX(PaymentSchedule[INTEREST],1,1):PaymentSchedule[[#This Row],[INTEREST]]),"")</f>
        <v>#VALUE!</v>
      </c>
    </row>
    <row r="111" spans="2:11">
      <c r="B111" s="10">
        <f ca="1">IF(LoanIsGood,IF(ROW()-ROW(PaymentSchedule[[#Headers],[PMT NO]])&gt;ScheduledNumberOfPayments,"",ROW()-ROW(PaymentSchedule[[#Headers],[PMT NO]])),"")</f>
        <v>95</v>
      </c>
      <c r="C111" s="12">
        <f ca="1">IF(PaymentSchedule[[#This Row],[PMT NO]]&lt;&gt;"",EOMONTH(LoanStartDate,ROW(PaymentSchedule[[#This Row],[PMT NO]])-ROW(PaymentSchedule[[#Headers],[PMT NO]])-2)+DAY(LoanStartDate),"")</f>
        <v>48824</v>
      </c>
      <c r="D11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1" s="14">
        <f ca="1">IF(PaymentSchedule[[#This Row],[PMT NO]]&lt;&gt;"",ScheduledPayment,"")</f>
        <v>1073.6432460242781</v>
      </c>
      <c r="F1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1" s="14" t="e">
        <f ca="1">IF(PaymentSchedule[[#This Row],[PMT NO]]&lt;&gt;"",PaymentSchedule[[#This Row],[TOTAL PAYMENT]]-PaymentSchedule[[#This Row],[INTEREST]],"")</f>
        <v>#VALUE!</v>
      </c>
      <c r="I111" s="14" t="e">
        <f ca="1">IF(PaymentSchedule[[#This Row],[PMT NO]]&lt;&gt;"",PaymentSchedule[[#This Row],[BEGINNING BALANCE]]*(InterestRate/PaymentsPerYear),"")</f>
        <v>#VALUE!</v>
      </c>
      <c r="J111" s="14" t="s">
        <v>32</v>
      </c>
      <c r="K111" s="14" t="e">
        <f ca="1">IF(PaymentSchedule[[#This Row],[PMT NO]]&lt;&gt;"",SUM(INDEX(PaymentSchedule[INTEREST],1,1):PaymentSchedule[[#This Row],[INTEREST]]),"")</f>
        <v>#VALUE!</v>
      </c>
    </row>
    <row r="112" spans="2:11">
      <c r="B112" s="10">
        <f ca="1">IF(LoanIsGood,IF(ROW()-ROW(PaymentSchedule[[#Headers],[PMT NO]])&gt;ScheduledNumberOfPayments,"",ROW()-ROW(PaymentSchedule[[#Headers],[PMT NO]])),"")</f>
        <v>96</v>
      </c>
      <c r="C112" s="12">
        <f ca="1">IF(PaymentSchedule[[#This Row],[PMT NO]]&lt;&gt;"",EOMONTH(LoanStartDate,ROW(PaymentSchedule[[#This Row],[PMT NO]])-ROW(PaymentSchedule[[#Headers],[PMT NO]])-2)+DAY(LoanStartDate),"")</f>
        <v>48854</v>
      </c>
      <c r="D11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2" s="14">
        <f ca="1">IF(PaymentSchedule[[#This Row],[PMT NO]]&lt;&gt;"",ScheduledPayment,"")</f>
        <v>1073.6432460242781</v>
      </c>
      <c r="F1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2" s="14" t="e">
        <f ca="1">IF(PaymentSchedule[[#This Row],[PMT NO]]&lt;&gt;"",PaymentSchedule[[#This Row],[TOTAL PAYMENT]]-PaymentSchedule[[#This Row],[INTEREST]],"")</f>
        <v>#VALUE!</v>
      </c>
      <c r="I112" s="14" t="e">
        <f ca="1">IF(PaymentSchedule[[#This Row],[PMT NO]]&lt;&gt;"",PaymentSchedule[[#This Row],[BEGINNING BALANCE]]*(InterestRate/PaymentsPerYear),"")</f>
        <v>#VALUE!</v>
      </c>
      <c r="J112" s="14" t="s">
        <v>32</v>
      </c>
      <c r="K112" s="14" t="e">
        <f ca="1">IF(PaymentSchedule[[#This Row],[PMT NO]]&lt;&gt;"",SUM(INDEX(PaymentSchedule[INTEREST],1,1):PaymentSchedule[[#This Row],[INTEREST]]),"")</f>
        <v>#VALUE!</v>
      </c>
    </row>
    <row r="113" spans="2:11">
      <c r="B113" s="10">
        <f ca="1">IF(LoanIsGood,IF(ROW()-ROW(PaymentSchedule[[#Headers],[PMT NO]])&gt;ScheduledNumberOfPayments,"",ROW()-ROW(PaymentSchedule[[#Headers],[PMT NO]])),"")</f>
        <v>97</v>
      </c>
      <c r="C113" s="12">
        <f ca="1">IF(PaymentSchedule[[#This Row],[PMT NO]]&lt;&gt;"",EOMONTH(LoanStartDate,ROW(PaymentSchedule[[#This Row],[PMT NO]])-ROW(PaymentSchedule[[#Headers],[PMT NO]])-2)+DAY(LoanStartDate),"")</f>
        <v>48885</v>
      </c>
      <c r="D11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3" s="14">
        <f ca="1">IF(PaymentSchedule[[#This Row],[PMT NO]]&lt;&gt;"",ScheduledPayment,"")</f>
        <v>1073.6432460242781</v>
      </c>
      <c r="F1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3" s="14" t="e">
        <f ca="1">IF(PaymentSchedule[[#This Row],[PMT NO]]&lt;&gt;"",PaymentSchedule[[#This Row],[TOTAL PAYMENT]]-PaymentSchedule[[#This Row],[INTEREST]],"")</f>
        <v>#VALUE!</v>
      </c>
      <c r="I113" s="14" t="e">
        <f ca="1">IF(PaymentSchedule[[#This Row],[PMT NO]]&lt;&gt;"",PaymentSchedule[[#This Row],[BEGINNING BALANCE]]*(InterestRate/PaymentsPerYear),"")</f>
        <v>#VALUE!</v>
      </c>
      <c r="J113" s="14" t="s">
        <v>32</v>
      </c>
      <c r="K113" s="14" t="e">
        <f ca="1">IF(PaymentSchedule[[#This Row],[PMT NO]]&lt;&gt;"",SUM(INDEX(PaymentSchedule[INTEREST],1,1):PaymentSchedule[[#This Row],[INTEREST]]),"")</f>
        <v>#VALUE!</v>
      </c>
    </row>
    <row r="114" spans="2:11">
      <c r="B114" s="10">
        <f ca="1">IF(LoanIsGood,IF(ROW()-ROW(PaymentSchedule[[#Headers],[PMT NO]])&gt;ScheduledNumberOfPayments,"",ROW()-ROW(PaymentSchedule[[#Headers],[PMT NO]])),"")</f>
        <v>98</v>
      </c>
      <c r="C114" s="12">
        <f ca="1">IF(PaymentSchedule[[#This Row],[PMT NO]]&lt;&gt;"",EOMONTH(LoanStartDate,ROW(PaymentSchedule[[#This Row],[PMT NO]])-ROW(PaymentSchedule[[#Headers],[PMT NO]])-2)+DAY(LoanStartDate),"")</f>
        <v>48915</v>
      </c>
      <c r="D11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4" s="14">
        <f ca="1">IF(PaymentSchedule[[#This Row],[PMT NO]]&lt;&gt;"",ScheduledPayment,"")</f>
        <v>1073.6432460242781</v>
      </c>
      <c r="F1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4" s="14" t="e">
        <f ca="1">IF(PaymentSchedule[[#This Row],[PMT NO]]&lt;&gt;"",PaymentSchedule[[#This Row],[TOTAL PAYMENT]]-PaymentSchedule[[#This Row],[INTEREST]],"")</f>
        <v>#VALUE!</v>
      </c>
      <c r="I114" s="14" t="e">
        <f ca="1">IF(PaymentSchedule[[#This Row],[PMT NO]]&lt;&gt;"",PaymentSchedule[[#This Row],[BEGINNING BALANCE]]*(InterestRate/PaymentsPerYear),"")</f>
        <v>#VALUE!</v>
      </c>
      <c r="J114" s="14" t="s">
        <v>32</v>
      </c>
      <c r="K114" s="14" t="e">
        <f ca="1">IF(PaymentSchedule[[#This Row],[PMT NO]]&lt;&gt;"",SUM(INDEX(PaymentSchedule[INTEREST],1,1):PaymentSchedule[[#This Row],[INTEREST]]),"")</f>
        <v>#VALUE!</v>
      </c>
    </row>
    <row r="115" spans="2:11">
      <c r="B115" s="10">
        <f ca="1">IF(LoanIsGood,IF(ROW()-ROW(PaymentSchedule[[#Headers],[PMT NO]])&gt;ScheduledNumberOfPayments,"",ROW()-ROW(PaymentSchedule[[#Headers],[PMT NO]])),"")</f>
        <v>99</v>
      </c>
      <c r="C115" s="12">
        <f ca="1">IF(PaymentSchedule[[#This Row],[PMT NO]]&lt;&gt;"",EOMONTH(LoanStartDate,ROW(PaymentSchedule[[#This Row],[PMT NO]])-ROW(PaymentSchedule[[#Headers],[PMT NO]])-2)+DAY(LoanStartDate),"")</f>
        <v>48946</v>
      </c>
      <c r="D11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5" s="14">
        <f ca="1">IF(PaymentSchedule[[#This Row],[PMT NO]]&lt;&gt;"",ScheduledPayment,"")</f>
        <v>1073.6432460242781</v>
      </c>
      <c r="F1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5" s="14" t="e">
        <f ca="1">IF(PaymentSchedule[[#This Row],[PMT NO]]&lt;&gt;"",PaymentSchedule[[#This Row],[TOTAL PAYMENT]]-PaymentSchedule[[#This Row],[INTEREST]],"")</f>
        <v>#VALUE!</v>
      </c>
      <c r="I115" s="14" t="e">
        <f ca="1">IF(PaymentSchedule[[#This Row],[PMT NO]]&lt;&gt;"",PaymentSchedule[[#This Row],[BEGINNING BALANCE]]*(InterestRate/PaymentsPerYear),"")</f>
        <v>#VALUE!</v>
      </c>
      <c r="J115" s="14" t="s">
        <v>32</v>
      </c>
      <c r="K115" s="14" t="e">
        <f ca="1">IF(PaymentSchedule[[#This Row],[PMT NO]]&lt;&gt;"",SUM(INDEX(PaymentSchedule[INTEREST],1,1):PaymentSchedule[[#This Row],[INTEREST]]),"")</f>
        <v>#VALUE!</v>
      </c>
    </row>
    <row r="116" spans="2:11">
      <c r="B116" s="10">
        <f ca="1">IF(LoanIsGood,IF(ROW()-ROW(PaymentSchedule[[#Headers],[PMT NO]])&gt;ScheduledNumberOfPayments,"",ROW()-ROW(PaymentSchedule[[#Headers],[PMT NO]])),"")</f>
        <v>100</v>
      </c>
      <c r="C116" s="12">
        <f ca="1">IF(PaymentSchedule[[#This Row],[PMT NO]]&lt;&gt;"",EOMONTH(LoanStartDate,ROW(PaymentSchedule[[#This Row],[PMT NO]])-ROW(PaymentSchedule[[#Headers],[PMT NO]])-2)+DAY(LoanStartDate),"")</f>
        <v>48977</v>
      </c>
      <c r="D11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6" s="14">
        <f ca="1">IF(PaymentSchedule[[#This Row],[PMT NO]]&lt;&gt;"",ScheduledPayment,"")</f>
        <v>1073.6432460242781</v>
      </c>
      <c r="F1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6" s="14" t="e">
        <f ca="1">IF(PaymentSchedule[[#This Row],[PMT NO]]&lt;&gt;"",PaymentSchedule[[#This Row],[TOTAL PAYMENT]]-PaymentSchedule[[#This Row],[INTEREST]],"")</f>
        <v>#VALUE!</v>
      </c>
      <c r="I116" s="14" t="e">
        <f ca="1">IF(PaymentSchedule[[#This Row],[PMT NO]]&lt;&gt;"",PaymentSchedule[[#This Row],[BEGINNING BALANCE]]*(InterestRate/PaymentsPerYear),"")</f>
        <v>#VALUE!</v>
      </c>
      <c r="J116" s="14" t="s">
        <v>32</v>
      </c>
      <c r="K116" s="14" t="e">
        <f ca="1">IF(PaymentSchedule[[#This Row],[PMT NO]]&lt;&gt;"",SUM(INDEX(PaymentSchedule[INTEREST],1,1):PaymentSchedule[[#This Row],[INTEREST]]),"")</f>
        <v>#VALUE!</v>
      </c>
    </row>
    <row r="117" spans="2:11">
      <c r="B117" s="10">
        <f ca="1">IF(LoanIsGood,IF(ROW()-ROW(PaymentSchedule[[#Headers],[PMT NO]])&gt;ScheduledNumberOfPayments,"",ROW()-ROW(PaymentSchedule[[#Headers],[PMT NO]])),"")</f>
        <v>101</v>
      </c>
      <c r="C117" s="12">
        <f ca="1">IF(PaymentSchedule[[#This Row],[PMT NO]]&lt;&gt;"",EOMONTH(LoanStartDate,ROW(PaymentSchedule[[#This Row],[PMT NO]])-ROW(PaymentSchedule[[#Headers],[PMT NO]])-2)+DAY(LoanStartDate),"")</f>
        <v>49005</v>
      </c>
      <c r="D11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7" s="14">
        <f ca="1">IF(PaymentSchedule[[#This Row],[PMT NO]]&lt;&gt;"",ScheduledPayment,"")</f>
        <v>1073.6432460242781</v>
      </c>
      <c r="F1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7" s="14" t="e">
        <f ca="1">IF(PaymentSchedule[[#This Row],[PMT NO]]&lt;&gt;"",PaymentSchedule[[#This Row],[TOTAL PAYMENT]]-PaymentSchedule[[#This Row],[INTEREST]],"")</f>
        <v>#VALUE!</v>
      </c>
      <c r="I117" s="14" t="e">
        <f ca="1">IF(PaymentSchedule[[#This Row],[PMT NO]]&lt;&gt;"",PaymentSchedule[[#This Row],[BEGINNING BALANCE]]*(InterestRate/PaymentsPerYear),"")</f>
        <v>#VALUE!</v>
      </c>
      <c r="J117" s="14" t="s">
        <v>32</v>
      </c>
      <c r="K117" s="14" t="e">
        <f ca="1">IF(PaymentSchedule[[#This Row],[PMT NO]]&lt;&gt;"",SUM(INDEX(PaymentSchedule[INTEREST],1,1):PaymentSchedule[[#This Row],[INTEREST]]),"")</f>
        <v>#VALUE!</v>
      </c>
    </row>
    <row r="118" spans="2:11">
      <c r="B118" s="10">
        <f ca="1">IF(LoanIsGood,IF(ROW()-ROW(PaymentSchedule[[#Headers],[PMT NO]])&gt;ScheduledNumberOfPayments,"",ROW()-ROW(PaymentSchedule[[#Headers],[PMT NO]])),"")</f>
        <v>102</v>
      </c>
      <c r="C118" s="12">
        <f ca="1">IF(PaymentSchedule[[#This Row],[PMT NO]]&lt;&gt;"",EOMONTH(LoanStartDate,ROW(PaymentSchedule[[#This Row],[PMT NO]])-ROW(PaymentSchedule[[#Headers],[PMT NO]])-2)+DAY(LoanStartDate),"")</f>
        <v>49036</v>
      </c>
      <c r="D11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8" s="14">
        <f ca="1">IF(PaymentSchedule[[#This Row],[PMT NO]]&lt;&gt;"",ScheduledPayment,"")</f>
        <v>1073.6432460242781</v>
      </c>
      <c r="F1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8" s="14" t="e">
        <f ca="1">IF(PaymentSchedule[[#This Row],[PMT NO]]&lt;&gt;"",PaymentSchedule[[#This Row],[TOTAL PAYMENT]]-PaymentSchedule[[#This Row],[INTEREST]],"")</f>
        <v>#VALUE!</v>
      </c>
      <c r="I118" s="14" t="e">
        <f ca="1">IF(PaymentSchedule[[#This Row],[PMT NO]]&lt;&gt;"",PaymentSchedule[[#This Row],[BEGINNING BALANCE]]*(InterestRate/PaymentsPerYear),"")</f>
        <v>#VALUE!</v>
      </c>
      <c r="J118" s="14" t="s">
        <v>32</v>
      </c>
      <c r="K118" s="14" t="e">
        <f ca="1">IF(PaymentSchedule[[#This Row],[PMT NO]]&lt;&gt;"",SUM(INDEX(PaymentSchedule[INTEREST],1,1):PaymentSchedule[[#This Row],[INTEREST]]),"")</f>
        <v>#VALUE!</v>
      </c>
    </row>
    <row r="119" spans="2:11">
      <c r="B119" s="10">
        <f ca="1">IF(LoanIsGood,IF(ROW()-ROW(PaymentSchedule[[#Headers],[PMT NO]])&gt;ScheduledNumberOfPayments,"",ROW()-ROW(PaymentSchedule[[#Headers],[PMT NO]])),"")</f>
        <v>103</v>
      </c>
      <c r="C119" s="12">
        <f ca="1">IF(PaymentSchedule[[#This Row],[PMT NO]]&lt;&gt;"",EOMONTH(LoanStartDate,ROW(PaymentSchedule[[#This Row],[PMT NO]])-ROW(PaymentSchedule[[#Headers],[PMT NO]])-2)+DAY(LoanStartDate),"")</f>
        <v>49066</v>
      </c>
      <c r="D11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19" s="14">
        <f ca="1">IF(PaymentSchedule[[#This Row],[PMT NO]]&lt;&gt;"",ScheduledPayment,"")</f>
        <v>1073.6432460242781</v>
      </c>
      <c r="F1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1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19" s="14" t="e">
        <f ca="1">IF(PaymentSchedule[[#This Row],[PMT NO]]&lt;&gt;"",PaymentSchedule[[#This Row],[TOTAL PAYMENT]]-PaymentSchedule[[#This Row],[INTEREST]],"")</f>
        <v>#VALUE!</v>
      </c>
      <c r="I119" s="14" t="e">
        <f ca="1">IF(PaymentSchedule[[#This Row],[PMT NO]]&lt;&gt;"",PaymentSchedule[[#This Row],[BEGINNING BALANCE]]*(InterestRate/PaymentsPerYear),"")</f>
        <v>#VALUE!</v>
      </c>
      <c r="J119" s="14" t="s">
        <v>32</v>
      </c>
      <c r="K119" s="14" t="e">
        <f ca="1">IF(PaymentSchedule[[#This Row],[PMT NO]]&lt;&gt;"",SUM(INDEX(PaymentSchedule[INTEREST],1,1):PaymentSchedule[[#This Row],[INTEREST]]),"")</f>
        <v>#VALUE!</v>
      </c>
    </row>
    <row r="120" spans="2:11">
      <c r="B120" s="10">
        <f ca="1">IF(LoanIsGood,IF(ROW()-ROW(PaymentSchedule[[#Headers],[PMT NO]])&gt;ScheduledNumberOfPayments,"",ROW()-ROW(PaymentSchedule[[#Headers],[PMT NO]])),"")</f>
        <v>104</v>
      </c>
      <c r="C120" s="12">
        <f ca="1">IF(PaymentSchedule[[#This Row],[PMT NO]]&lt;&gt;"",EOMONTH(LoanStartDate,ROW(PaymentSchedule[[#This Row],[PMT NO]])-ROW(PaymentSchedule[[#Headers],[PMT NO]])-2)+DAY(LoanStartDate),"")</f>
        <v>49097</v>
      </c>
      <c r="D12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0" s="14">
        <f ca="1">IF(PaymentSchedule[[#This Row],[PMT NO]]&lt;&gt;"",ScheduledPayment,"")</f>
        <v>1073.6432460242781</v>
      </c>
      <c r="F1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0" s="14" t="e">
        <f ca="1">IF(PaymentSchedule[[#This Row],[PMT NO]]&lt;&gt;"",PaymentSchedule[[#This Row],[TOTAL PAYMENT]]-PaymentSchedule[[#This Row],[INTEREST]],"")</f>
        <v>#VALUE!</v>
      </c>
      <c r="I120" s="14" t="e">
        <f ca="1">IF(PaymentSchedule[[#This Row],[PMT NO]]&lt;&gt;"",PaymentSchedule[[#This Row],[BEGINNING BALANCE]]*(InterestRate/PaymentsPerYear),"")</f>
        <v>#VALUE!</v>
      </c>
      <c r="J120" s="14" t="s">
        <v>32</v>
      </c>
      <c r="K120" s="14" t="e">
        <f ca="1">IF(PaymentSchedule[[#This Row],[PMT NO]]&lt;&gt;"",SUM(INDEX(PaymentSchedule[INTEREST],1,1):PaymentSchedule[[#This Row],[INTEREST]]),"")</f>
        <v>#VALUE!</v>
      </c>
    </row>
    <row r="121" spans="2:11">
      <c r="B121" s="10">
        <f ca="1">IF(LoanIsGood,IF(ROW()-ROW(PaymentSchedule[[#Headers],[PMT NO]])&gt;ScheduledNumberOfPayments,"",ROW()-ROW(PaymentSchedule[[#Headers],[PMT NO]])),"")</f>
        <v>105</v>
      </c>
      <c r="C121" s="12">
        <f ca="1">IF(PaymentSchedule[[#This Row],[PMT NO]]&lt;&gt;"",EOMONTH(LoanStartDate,ROW(PaymentSchedule[[#This Row],[PMT NO]])-ROW(PaymentSchedule[[#Headers],[PMT NO]])-2)+DAY(LoanStartDate),"")</f>
        <v>49127</v>
      </c>
      <c r="D12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1" s="14">
        <f ca="1">IF(PaymentSchedule[[#This Row],[PMT NO]]&lt;&gt;"",ScheduledPayment,"")</f>
        <v>1073.6432460242781</v>
      </c>
      <c r="F1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1" s="14" t="e">
        <f ca="1">IF(PaymentSchedule[[#This Row],[PMT NO]]&lt;&gt;"",PaymentSchedule[[#This Row],[TOTAL PAYMENT]]-PaymentSchedule[[#This Row],[INTEREST]],"")</f>
        <v>#VALUE!</v>
      </c>
      <c r="I121" s="14" t="e">
        <f ca="1">IF(PaymentSchedule[[#This Row],[PMT NO]]&lt;&gt;"",PaymentSchedule[[#This Row],[BEGINNING BALANCE]]*(InterestRate/PaymentsPerYear),"")</f>
        <v>#VALUE!</v>
      </c>
      <c r="J121" s="14" t="s">
        <v>32</v>
      </c>
      <c r="K121" s="14" t="e">
        <f ca="1">IF(PaymentSchedule[[#This Row],[PMT NO]]&lt;&gt;"",SUM(INDEX(PaymentSchedule[INTEREST],1,1):PaymentSchedule[[#This Row],[INTEREST]]),"")</f>
        <v>#VALUE!</v>
      </c>
    </row>
    <row r="122" spans="2:11">
      <c r="B122" s="10">
        <f ca="1">IF(LoanIsGood,IF(ROW()-ROW(PaymentSchedule[[#Headers],[PMT NO]])&gt;ScheduledNumberOfPayments,"",ROW()-ROW(PaymentSchedule[[#Headers],[PMT NO]])),"")</f>
        <v>106</v>
      </c>
      <c r="C122" s="12">
        <f ca="1">IF(PaymentSchedule[[#This Row],[PMT NO]]&lt;&gt;"",EOMONTH(LoanStartDate,ROW(PaymentSchedule[[#This Row],[PMT NO]])-ROW(PaymentSchedule[[#Headers],[PMT NO]])-2)+DAY(LoanStartDate),"")</f>
        <v>49158</v>
      </c>
      <c r="D12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2" s="14">
        <f ca="1">IF(PaymentSchedule[[#This Row],[PMT NO]]&lt;&gt;"",ScheduledPayment,"")</f>
        <v>1073.6432460242781</v>
      </c>
      <c r="F1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2" s="14" t="e">
        <f ca="1">IF(PaymentSchedule[[#This Row],[PMT NO]]&lt;&gt;"",PaymentSchedule[[#This Row],[TOTAL PAYMENT]]-PaymentSchedule[[#This Row],[INTEREST]],"")</f>
        <v>#VALUE!</v>
      </c>
      <c r="I122" s="14" t="e">
        <f ca="1">IF(PaymentSchedule[[#This Row],[PMT NO]]&lt;&gt;"",PaymentSchedule[[#This Row],[BEGINNING BALANCE]]*(InterestRate/PaymentsPerYear),"")</f>
        <v>#VALUE!</v>
      </c>
      <c r="J122" s="14" t="s">
        <v>32</v>
      </c>
      <c r="K122" s="14" t="e">
        <f ca="1">IF(PaymentSchedule[[#This Row],[PMT NO]]&lt;&gt;"",SUM(INDEX(PaymentSchedule[INTEREST],1,1):PaymentSchedule[[#This Row],[INTEREST]]),"")</f>
        <v>#VALUE!</v>
      </c>
    </row>
    <row r="123" spans="2:11">
      <c r="B123" s="10">
        <f ca="1">IF(LoanIsGood,IF(ROW()-ROW(PaymentSchedule[[#Headers],[PMT NO]])&gt;ScheduledNumberOfPayments,"",ROW()-ROW(PaymentSchedule[[#Headers],[PMT NO]])),"")</f>
        <v>107</v>
      </c>
      <c r="C123" s="12">
        <f ca="1">IF(PaymentSchedule[[#This Row],[PMT NO]]&lt;&gt;"",EOMONTH(LoanStartDate,ROW(PaymentSchedule[[#This Row],[PMT NO]])-ROW(PaymentSchedule[[#Headers],[PMT NO]])-2)+DAY(LoanStartDate),"")</f>
        <v>49189</v>
      </c>
      <c r="D12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3" s="14">
        <f ca="1">IF(PaymentSchedule[[#This Row],[PMT NO]]&lt;&gt;"",ScheduledPayment,"")</f>
        <v>1073.6432460242781</v>
      </c>
      <c r="F1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3" s="14" t="e">
        <f ca="1">IF(PaymentSchedule[[#This Row],[PMT NO]]&lt;&gt;"",PaymentSchedule[[#This Row],[TOTAL PAYMENT]]-PaymentSchedule[[#This Row],[INTEREST]],"")</f>
        <v>#VALUE!</v>
      </c>
      <c r="I123" s="14" t="e">
        <f ca="1">IF(PaymentSchedule[[#This Row],[PMT NO]]&lt;&gt;"",PaymentSchedule[[#This Row],[BEGINNING BALANCE]]*(InterestRate/PaymentsPerYear),"")</f>
        <v>#VALUE!</v>
      </c>
      <c r="J123" s="14" t="s">
        <v>32</v>
      </c>
      <c r="K123" s="14" t="e">
        <f ca="1">IF(PaymentSchedule[[#This Row],[PMT NO]]&lt;&gt;"",SUM(INDEX(PaymentSchedule[INTEREST],1,1):PaymentSchedule[[#This Row],[INTEREST]]),"")</f>
        <v>#VALUE!</v>
      </c>
    </row>
    <row r="124" spans="2:11">
      <c r="B124" s="10">
        <f ca="1">IF(LoanIsGood,IF(ROW()-ROW(PaymentSchedule[[#Headers],[PMT NO]])&gt;ScheduledNumberOfPayments,"",ROW()-ROW(PaymentSchedule[[#Headers],[PMT NO]])),"")</f>
        <v>108</v>
      </c>
      <c r="C124" s="12">
        <f ca="1">IF(PaymentSchedule[[#This Row],[PMT NO]]&lt;&gt;"",EOMONTH(LoanStartDate,ROW(PaymentSchedule[[#This Row],[PMT NO]])-ROW(PaymentSchedule[[#Headers],[PMT NO]])-2)+DAY(LoanStartDate),"")</f>
        <v>49219</v>
      </c>
      <c r="D12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4" s="14">
        <f ca="1">IF(PaymentSchedule[[#This Row],[PMT NO]]&lt;&gt;"",ScheduledPayment,"")</f>
        <v>1073.6432460242781</v>
      </c>
      <c r="F1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4" s="14" t="e">
        <f ca="1">IF(PaymentSchedule[[#This Row],[PMT NO]]&lt;&gt;"",PaymentSchedule[[#This Row],[TOTAL PAYMENT]]-PaymentSchedule[[#This Row],[INTEREST]],"")</f>
        <v>#VALUE!</v>
      </c>
      <c r="I124" s="14" t="e">
        <f ca="1">IF(PaymentSchedule[[#This Row],[PMT NO]]&lt;&gt;"",PaymentSchedule[[#This Row],[BEGINNING BALANCE]]*(InterestRate/PaymentsPerYear),"")</f>
        <v>#VALUE!</v>
      </c>
      <c r="J124" s="14" t="s">
        <v>32</v>
      </c>
      <c r="K124" s="14" t="e">
        <f ca="1">IF(PaymentSchedule[[#This Row],[PMT NO]]&lt;&gt;"",SUM(INDEX(PaymentSchedule[INTEREST],1,1):PaymentSchedule[[#This Row],[INTEREST]]),"")</f>
        <v>#VALUE!</v>
      </c>
    </row>
    <row r="125" spans="2:11">
      <c r="B125" s="10">
        <f ca="1">IF(LoanIsGood,IF(ROW()-ROW(PaymentSchedule[[#Headers],[PMT NO]])&gt;ScheduledNumberOfPayments,"",ROW()-ROW(PaymentSchedule[[#Headers],[PMT NO]])),"")</f>
        <v>109</v>
      </c>
      <c r="C125" s="12">
        <f ca="1">IF(PaymentSchedule[[#This Row],[PMT NO]]&lt;&gt;"",EOMONTH(LoanStartDate,ROW(PaymentSchedule[[#This Row],[PMT NO]])-ROW(PaymentSchedule[[#Headers],[PMT NO]])-2)+DAY(LoanStartDate),"")</f>
        <v>49250</v>
      </c>
      <c r="D12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5" s="14">
        <f ca="1">IF(PaymentSchedule[[#This Row],[PMT NO]]&lt;&gt;"",ScheduledPayment,"")</f>
        <v>1073.6432460242781</v>
      </c>
      <c r="F1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5" s="14" t="e">
        <f ca="1">IF(PaymentSchedule[[#This Row],[PMT NO]]&lt;&gt;"",PaymentSchedule[[#This Row],[TOTAL PAYMENT]]-PaymentSchedule[[#This Row],[INTEREST]],"")</f>
        <v>#VALUE!</v>
      </c>
      <c r="I125" s="14" t="e">
        <f ca="1">IF(PaymentSchedule[[#This Row],[PMT NO]]&lt;&gt;"",PaymentSchedule[[#This Row],[BEGINNING BALANCE]]*(InterestRate/PaymentsPerYear),"")</f>
        <v>#VALUE!</v>
      </c>
      <c r="J125" s="14" t="s">
        <v>32</v>
      </c>
      <c r="K125" s="14" t="e">
        <f ca="1">IF(PaymentSchedule[[#This Row],[PMT NO]]&lt;&gt;"",SUM(INDEX(PaymentSchedule[INTEREST],1,1):PaymentSchedule[[#This Row],[INTEREST]]),"")</f>
        <v>#VALUE!</v>
      </c>
    </row>
    <row r="126" spans="2:11">
      <c r="B126" s="10">
        <f ca="1">IF(LoanIsGood,IF(ROW()-ROW(PaymentSchedule[[#Headers],[PMT NO]])&gt;ScheduledNumberOfPayments,"",ROW()-ROW(PaymentSchedule[[#Headers],[PMT NO]])),"")</f>
        <v>110</v>
      </c>
      <c r="C126" s="12">
        <f ca="1">IF(PaymentSchedule[[#This Row],[PMT NO]]&lt;&gt;"",EOMONTH(LoanStartDate,ROW(PaymentSchedule[[#This Row],[PMT NO]])-ROW(PaymentSchedule[[#Headers],[PMT NO]])-2)+DAY(LoanStartDate),"")</f>
        <v>49280</v>
      </c>
      <c r="D12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6" s="14">
        <f ca="1">IF(PaymentSchedule[[#This Row],[PMT NO]]&lt;&gt;"",ScheduledPayment,"")</f>
        <v>1073.6432460242781</v>
      </c>
      <c r="F1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6" s="14" t="e">
        <f ca="1">IF(PaymentSchedule[[#This Row],[PMT NO]]&lt;&gt;"",PaymentSchedule[[#This Row],[TOTAL PAYMENT]]-PaymentSchedule[[#This Row],[INTEREST]],"")</f>
        <v>#VALUE!</v>
      </c>
      <c r="I126" s="14" t="e">
        <f ca="1">IF(PaymentSchedule[[#This Row],[PMT NO]]&lt;&gt;"",PaymentSchedule[[#This Row],[BEGINNING BALANCE]]*(InterestRate/PaymentsPerYear),"")</f>
        <v>#VALUE!</v>
      </c>
      <c r="J126" s="14" t="s">
        <v>32</v>
      </c>
      <c r="K126" s="14" t="e">
        <f ca="1">IF(PaymentSchedule[[#This Row],[PMT NO]]&lt;&gt;"",SUM(INDEX(PaymentSchedule[INTEREST],1,1):PaymentSchedule[[#This Row],[INTEREST]]),"")</f>
        <v>#VALUE!</v>
      </c>
    </row>
    <row r="127" spans="2:11">
      <c r="B127" s="10">
        <f ca="1">IF(LoanIsGood,IF(ROW()-ROW(PaymentSchedule[[#Headers],[PMT NO]])&gt;ScheduledNumberOfPayments,"",ROW()-ROW(PaymentSchedule[[#Headers],[PMT NO]])),"")</f>
        <v>111</v>
      </c>
      <c r="C127" s="12">
        <f ca="1">IF(PaymentSchedule[[#This Row],[PMT NO]]&lt;&gt;"",EOMONTH(LoanStartDate,ROW(PaymentSchedule[[#This Row],[PMT NO]])-ROW(PaymentSchedule[[#Headers],[PMT NO]])-2)+DAY(LoanStartDate),"")</f>
        <v>49311</v>
      </c>
      <c r="D12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7" s="14">
        <f ca="1">IF(PaymentSchedule[[#This Row],[PMT NO]]&lt;&gt;"",ScheduledPayment,"")</f>
        <v>1073.6432460242781</v>
      </c>
      <c r="F1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7" s="14" t="e">
        <f ca="1">IF(PaymentSchedule[[#This Row],[PMT NO]]&lt;&gt;"",PaymentSchedule[[#This Row],[TOTAL PAYMENT]]-PaymentSchedule[[#This Row],[INTEREST]],"")</f>
        <v>#VALUE!</v>
      </c>
      <c r="I127" s="14" t="e">
        <f ca="1">IF(PaymentSchedule[[#This Row],[PMT NO]]&lt;&gt;"",PaymentSchedule[[#This Row],[BEGINNING BALANCE]]*(InterestRate/PaymentsPerYear),"")</f>
        <v>#VALUE!</v>
      </c>
      <c r="J127" s="14" t="s">
        <v>32</v>
      </c>
      <c r="K127" s="14" t="e">
        <f ca="1">IF(PaymentSchedule[[#This Row],[PMT NO]]&lt;&gt;"",SUM(INDEX(PaymentSchedule[INTEREST],1,1):PaymentSchedule[[#This Row],[INTEREST]]),"")</f>
        <v>#VALUE!</v>
      </c>
    </row>
    <row r="128" spans="2:11">
      <c r="B128" s="10">
        <f ca="1">IF(LoanIsGood,IF(ROW()-ROW(PaymentSchedule[[#Headers],[PMT NO]])&gt;ScheduledNumberOfPayments,"",ROW()-ROW(PaymentSchedule[[#Headers],[PMT NO]])),"")</f>
        <v>112</v>
      </c>
      <c r="C128" s="12">
        <f ca="1">IF(PaymentSchedule[[#This Row],[PMT NO]]&lt;&gt;"",EOMONTH(LoanStartDate,ROW(PaymentSchedule[[#This Row],[PMT NO]])-ROW(PaymentSchedule[[#Headers],[PMT NO]])-2)+DAY(LoanStartDate),"")</f>
        <v>49342</v>
      </c>
      <c r="D12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8" s="14">
        <f ca="1">IF(PaymentSchedule[[#This Row],[PMT NO]]&lt;&gt;"",ScheduledPayment,"")</f>
        <v>1073.6432460242781</v>
      </c>
      <c r="F1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8" s="14" t="e">
        <f ca="1">IF(PaymentSchedule[[#This Row],[PMT NO]]&lt;&gt;"",PaymentSchedule[[#This Row],[TOTAL PAYMENT]]-PaymentSchedule[[#This Row],[INTEREST]],"")</f>
        <v>#VALUE!</v>
      </c>
      <c r="I128" s="14" t="e">
        <f ca="1">IF(PaymentSchedule[[#This Row],[PMT NO]]&lt;&gt;"",PaymentSchedule[[#This Row],[BEGINNING BALANCE]]*(InterestRate/PaymentsPerYear),"")</f>
        <v>#VALUE!</v>
      </c>
      <c r="J128" s="14" t="s">
        <v>32</v>
      </c>
      <c r="K128" s="14" t="e">
        <f ca="1">IF(PaymentSchedule[[#This Row],[PMT NO]]&lt;&gt;"",SUM(INDEX(PaymentSchedule[INTEREST],1,1):PaymentSchedule[[#This Row],[INTEREST]]),"")</f>
        <v>#VALUE!</v>
      </c>
    </row>
    <row r="129" spans="2:11">
      <c r="B129" s="10">
        <f ca="1">IF(LoanIsGood,IF(ROW()-ROW(PaymentSchedule[[#Headers],[PMT NO]])&gt;ScheduledNumberOfPayments,"",ROW()-ROW(PaymentSchedule[[#Headers],[PMT NO]])),"")</f>
        <v>113</v>
      </c>
      <c r="C129" s="12">
        <f ca="1">IF(PaymentSchedule[[#This Row],[PMT NO]]&lt;&gt;"",EOMONTH(LoanStartDate,ROW(PaymentSchedule[[#This Row],[PMT NO]])-ROW(PaymentSchedule[[#Headers],[PMT NO]])-2)+DAY(LoanStartDate),"")</f>
        <v>49370</v>
      </c>
      <c r="D12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29" s="14">
        <f ca="1">IF(PaymentSchedule[[#This Row],[PMT NO]]&lt;&gt;"",ScheduledPayment,"")</f>
        <v>1073.6432460242781</v>
      </c>
      <c r="F1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29" s="14" t="e">
        <f ca="1">IF(PaymentSchedule[[#This Row],[PMT NO]]&lt;&gt;"",PaymentSchedule[[#This Row],[TOTAL PAYMENT]]-PaymentSchedule[[#This Row],[INTEREST]],"")</f>
        <v>#VALUE!</v>
      </c>
      <c r="I129" s="14" t="e">
        <f ca="1">IF(PaymentSchedule[[#This Row],[PMT NO]]&lt;&gt;"",PaymentSchedule[[#This Row],[BEGINNING BALANCE]]*(InterestRate/PaymentsPerYear),"")</f>
        <v>#VALUE!</v>
      </c>
      <c r="J129" s="14" t="s">
        <v>32</v>
      </c>
      <c r="K129" s="14" t="e">
        <f ca="1">IF(PaymentSchedule[[#This Row],[PMT NO]]&lt;&gt;"",SUM(INDEX(PaymentSchedule[INTEREST],1,1):PaymentSchedule[[#This Row],[INTEREST]]),"")</f>
        <v>#VALUE!</v>
      </c>
    </row>
    <row r="130" spans="2:11">
      <c r="B130" s="10">
        <f ca="1">IF(LoanIsGood,IF(ROW()-ROW(PaymentSchedule[[#Headers],[PMT NO]])&gt;ScheduledNumberOfPayments,"",ROW()-ROW(PaymentSchedule[[#Headers],[PMT NO]])),"")</f>
        <v>114</v>
      </c>
      <c r="C130" s="12">
        <f ca="1">IF(PaymentSchedule[[#This Row],[PMT NO]]&lt;&gt;"",EOMONTH(LoanStartDate,ROW(PaymentSchedule[[#This Row],[PMT NO]])-ROW(PaymentSchedule[[#Headers],[PMT NO]])-2)+DAY(LoanStartDate),"")</f>
        <v>49401</v>
      </c>
      <c r="D13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0" s="14">
        <f ca="1">IF(PaymentSchedule[[#This Row],[PMT NO]]&lt;&gt;"",ScheduledPayment,"")</f>
        <v>1073.6432460242781</v>
      </c>
      <c r="F1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0" s="14" t="e">
        <f ca="1">IF(PaymentSchedule[[#This Row],[PMT NO]]&lt;&gt;"",PaymentSchedule[[#This Row],[TOTAL PAYMENT]]-PaymentSchedule[[#This Row],[INTEREST]],"")</f>
        <v>#VALUE!</v>
      </c>
      <c r="I130" s="14" t="e">
        <f ca="1">IF(PaymentSchedule[[#This Row],[PMT NO]]&lt;&gt;"",PaymentSchedule[[#This Row],[BEGINNING BALANCE]]*(InterestRate/PaymentsPerYear),"")</f>
        <v>#VALUE!</v>
      </c>
      <c r="J130" s="14" t="s">
        <v>32</v>
      </c>
      <c r="K130" s="14" t="e">
        <f ca="1">IF(PaymentSchedule[[#This Row],[PMT NO]]&lt;&gt;"",SUM(INDEX(PaymentSchedule[INTEREST],1,1):PaymentSchedule[[#This Row],[INTEREST]]),"")</f>
        <v>#VALUE!</v>
      </c>
    </row>
    <row r="131" spans="2:11">
      <c r="B131" s="10">
        <f ca="1">IF(LoanIsGood,IF(ROW()-ROW(PaymentSchedule[[#Headers],[PMT NO]])&gt;ScheduledNumberOfPayments,"",ROW()-ROW(PaymentSchedule[[#Headers],[PMT NO]])),"")</f>
        <v>115</v>
      </c>
      <c r="C131" s="12">
        <f ca="1">IF(PaymentSchedule[[#This Row],[PMT NO]]&lt;&gt;"",EOMONTH(LoanStartDate,ROW(PaymentSchedule[[#This Row],[PMT NO]])-ROW(PaymentSchedule[[#Headers],[PMT NO]])-2)+DAY(LoanStartDate),"")</f>
        <v>49431</v>
      </c>
      <c r="D13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1" s="14">
        <f ca="1">IF(PaymentSchedule[[#This Row],[PMT NO]]&lt;&gt;"",ScheduledPayment,"")</f>
        <v>1073.6432460242781</v>
      </c>
      <c r="F1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1" s="14" t="e">
        <f ca="1">IF(PaymentSchedule[[#This Row],[PMT NO]]&lt;&gt;"",PaymentSchedule[[#This Row],[TOTAL PAYMENT]]-PaymentSchedule[[#This Row],[INTEREST]],"")</f>
        <v>#VALUE!</v>
      </c>
      <c r="I131" s="14" t="e">
        <f ca="1">IF(PaymentSchedule[[#This Row],[PMT NO]]&lt;&gt;"",PaymentSchedule[[#This Row],[BEGINNING BALANCE]]*(InterestRate/PaymentsPerYear),"")</f>
        <v>#VALUE!</v>
      </c>
      <c r="J131" s="14" t="s">
        <v>32</v>
      </c>
      <c r="K131" s="14" t="e">
        <f ca="1">IF(PaymentSchedule[[#This Row],[PMT NO]]&lt;&gt;"",SUM(INDEX(PaymentSchedule[INTEREST],1,1):PaymentSchedule[[#This Row],[INTEREST]]),"")</f>
        <v>#VALUE!</v>
      </c>
    </row>
    <row r="132" spans="2:11">
      <c r="B132" s="10">
        <f ca="1">IF(LoanIsGood,IF(ROW()-ROW(PaymentSchedule[[#Headers],[PMT NO]])&gt;ScheduledNumberOfPayments,"",ROW()-ROW(PaymentSchedule[[#Headers],[PMT NO]])),"")</f>
        <v>116</v>
      </c>
      <c r="C132" s="12">
        <f ca="1">IF(PaymentSchedule[[#This Row],[PMT NO]]&lt;&gt;"",EOMONTH(LoanStartDate,ROW(PaymentSchedule[[#This Row],[PMT NO]])-ROW(PaymentSchedule[[#Headers],[PMT NO]])-2)+DAY(LoanStartDate),"")</f>
        <v>49462</v>
      </c>
      <c r="D13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2" s="14">
        <f ca="1">IF(PaymentSchedule[[#This Row],[PMT NO]]&lt;&gt;"",ScheduledPayment,"")</f>
        <v>1073.6432460242781</v>
      </c>
      <c r="F1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2" s="14" t="e">
        <f ca="1">IF(PaymentSchedule[[#This Row],[PMT NO]]&lt;&gt;"",PaymentSchedule[[#This Row],[TOTAL PAYMENT]]-PaymentSchedule[[#This Row],[INTEREST]],"")</f>
        <v>#VALUE!</v>
      </c>
      <c r="I132" s="14" t="e">
        <f ca="1">IF(PaymentSchedule[[#This Row],[PMT NO]]&lt;&gt;"",PaymentSchedule[[#This Row],[BEGINNING BALANCE]]*(InterestRate/PaymentsPerYear),"")</f>
        <v>#VALUE!</v>
      </c>
      <c r="J132" s="14" t="s">
        <v>32</v>
      </c>
      <c r="K132" s="14" t="e">
        <f ca="1">IF(PaymentSchedule[[#This Row],[PMT NO]]&lt;&gt;"",SUM(INDEX(PaymentSchedule[INTEREST],1,1):PaymentSchedule[[#This Row],[INTEREST]]),"")</f>
        <v>#VALUE!</v>
      </c>
    </row>
    <row r="133" spans="2:11">
      <c r="B133" s="10">
        <f ca="1">IF(LoanIsGood,IF(ROW()-ROW(PaymentSchedule[[#Headers],[PMT NO]])&gt;ScheduledNumberOfPayments,"",ROW()-ROW(PaymentSchedule[[#Headers],[PMT NO]])),"")</f>
        <v>117</v>
      </c>
      <c r="C133" s="12">
        <f ca="1">IF(PaymentSchedule[[#This Row],[PMT NO]]&lt;&gt;"",EOMONTH(LoanStartDate,ROW(PaymentSchedule[[#This Row],[PMT NO]])-ROW(PaymentSchedule[[#Headers],[PMT NO]])-2)+DAY(LoanStartDate),"")</f>
        <v>49492</v>
      </c>
      <c r="D13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3" s="14">
        <f ca="1">IF(PaymentSchedule[[#This Row],[PMT NO]]&lt;&gt;"",ScheduledPayment,"")</f>
        <v>1073.6432460242781</v>
      </c>
      <c r="F1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3" s="14" t="e">
        <f ca="1">IF(PaymentSchedule[[#This Row],[PMT NO]]&lt;&gt;"",PaymentSchedule[[#This Row],[TOTAL PAYMENT]]-PaymentSchedule[[#This Row],[INTEREST]],"")</f>
        <v>#VALUE!</v>
      </c>
      <c r="I133" s="14" t="e">
        <f ca="1">IF(PaymentSchedule[[#This Row],[PMT NO]]&lt;&gt;"",PaymentSchedule[[#This Row],[BEGINNING BALANCE]]*(InterestRate/PaymentsPerYear),"")</f>
        <v>#VALUE!</v>
      </c>
      <c r="J133" s="14" t="s">
        <v>32</v>
      </c>
      <c r="K133" s="14" t="e">
        <f ca="1">IF(PaymentSchedule[[#This Row],[PMT NO]]&lt;&gt;"",SUM(INDEX(PaymentSchedule[INTEREST],1,1):PaymentSchedule[[#This Row],[INTEREST]]),"")</f>
        <v>#VALUE!</v>
      </c>
    </row>
    <row r="134" spans="2:11">
      <c r="B134" s="10">
        <f ca="1">IF(LoanIsGood,IF(ROW()-ROW(PaymentSchedule[[#Headers],[PMT NO]])&gt;ScheduledNumberOfPayments,"",ROW()-ROW(PaymentSchedule[[#Headers],[PMT NO]])),"")</f>
        <v>118</v>
      </c>
      <c r="C134" s="12">
        <f ca="1">IF(PaymentSchedule[[#This Row],[PMT NO]]&lt;&gt;"",EOMONTH(LoanStartDate,ROW(PaymentSchedule[[#This Row],[PMT NO]])-ROW(PaymentSchedule[[#Headers],[PMT NO]])-2)+DAY(LoanStartDate),"")</f>
        <v>49523</v>
      </c>
      <c r="D13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4" s="14">
        <f ca="1">IF(PaymentSchedule[[#This Row],[PMT NO]]&lt;&gt;"",ScheduledPayment,"")</f>
        <v>1073.6432460242781</v>
      </c>
      <c r="F1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4" s="14" t="e">
        <f ca="1">IF(PaymentSchedule[[#This Row],[PMT NO]]&lt;&gt;"",PaymentSchedule[[#This Row],[TOTAL PAYMENT]]-PaymentSchedule[[#This Row],[INTEREST]],"")</f>
        <v>#VALUE!</v>
      </c>
      <c r="I134" s="14" t="e">
        <f ca="1">IF(PaymentSchedule[[#This Row],[PMT NO]]&lt;&gt;"",PaymentSchedule[[#This Row],[BEGINNING BALANCE]]*(InterestRate/PaymentsPerYear),"")</f>
        <v>#VALUE!</v>
      </c>
      <c r="J134" s="14" t="s">
        <v>32</v>
      </c>
      <c r="K134" s="14" t="e">
        <f ca="1">IF(PaymentSchedule[[#This Row],[PMT NO]]&lt;&gt;"",SUM(INDEX(PaymentSchedule[INTEREST],1,1):PaymentSchedule[[#This Row],[INTEREST]]),"")</f>
        <v>#VALUE!</v>
      </c>
    </row>
    <row r="135" spans="2:11">
      <c r="B135" s="10">
        <f ca="1">IF(LoanIsGood,IF(ROW()-ROW(PaymentSchedule[[#Headers],[PMT NO]])&gt;ScheduledNumberOfPayments,"",ROW()-ROW(PaymentSchedule[[#Headers],[PMT NO]])),"")</f>
        <v>119</v>
      </c>
      <c r="C135" s="12">
        <f ca="1">IF(PaymentSchedule[[#This Row],[PMT NO]]&lt;&gt;"",EOMONTH(LoanStartDate,ROW(PaymentSchedule[[#This Row],[PMT NO]])-ROW(PaymentSchedule[[#Headers],[PMT NO]])-2)+DAY(LoanStartDate),"")</f>
        <v>49554</v>
      </c>
      <c r="D13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5" s="14">
        <f ca="1">IF(PaymentSchedule[[#This Row],[PMT NO]]&lt;&gt;"",ScheduledPayment,"")</f>
        <v>1073.6432460242781</v>
      </c>
      <c r="F1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5" s="14" t="e">
        <f ca="1">IF(PaymentSchedule[[#This Row],[PMT NO]]&lt;&gt;"",PaymentSchedule[[#This Row],[TOTAL PAYMENT]]-PaymentSchedule[[#This Row],[INTEREST]],"")</f>
        <v>#VALUE!</v>
      </c>
      <c r="I135" s="14" t="e">
        <f ca="1">IF(PaymentSchedule[[#This Row],[PMT NO]]&lt;&gt;"",PaymentSchedule[[#This Row],[BEGINNING BALANCE]]*(InterestRate/PaymentsPerYear),"")</f>
        <v>#VALUE!</v>
      </c>
      <c r="J135" s="14" t="s">
        <v>32</v>
      </c>
      <c r="K135" s="14" t="e">
        <f ca="1">IF(PaymentSchedule[[#This Row],[PMT NO]]&lt;&gt;"",SUM(INDEX(PaymentSchedule[INTEREST],1,1):PaymentSchedule[[#This Row],[INTEREST]]),"")</f>
        <v>#VALUE!</v>
      </c>
    </row>
    <row r="136" spans="2:11">
      <c r="B136" s="10">
        <f ca="1">IF(LoanIsGood,IF(ROW()-ROW(PaymentSchedule[[#Headers],[PMT NO]])&gt;ScheduledNumberOfPayments,"",ROW()-ROW(PaymentSchedule[[#Headers],[PMT NO]])),"")</f>
        <v>120</v>
      </c>
      <c r="C136" s="12">
        <f ca="1">IF(PaymentSchedule[[#This Row],[PMT NO]]&lt;&gt;"",EOMONTH(LoanStartDate,ROW(PaymentSchedule[[#This Row],[PMT NO]])-ROW(PaymentSchedule[[#Headers],[PMT NO]])-2)+DAY(LoanStartDate),"")</f>
        <v>49584</v>
      </c>
      <c r="D13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6" s="14">
        <f ca="1">IF(PaymentSchedule[[#This Row],[PMT NO]]&lt;&gt;"",ScheduledPayment,"")</f>
        <v>1073.6432460242781</v>
      </c>
      <c r="F1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6" s="14" t="e">
        <f ca="1">IF(PaymentSchedule[[#This Row],[PMT NO]]&lt;&gt;"",PaymentSchedule[[#This Row],[TOTAL PAYMENT]]-PaymentSchedule[[#This Row],[INTEREST]],"")</f>
        <v>#VALUE!</v>
      </c>
      <c r="I136" s="14" t="e">
        <f ca="1">IF(PaymentSchedule[[#This Row],[PMT NO]]&lt;&gt;"",PaymentSchedule[[#This Row],[BEGINNING BALANCE]]*(InterestRate/PaymentsPerYear),"")</f>
        <v>#VALUE!</v>
      </c>
      <c r="J136" s="14" t="s">
        <v>32</v>
      </c>
      <c r="K136" s="14" t="e">
        <f ca="1">IF(PaymentSchedule[[#This Row],[PMT NO]]&lt;&gt;"",SUM(INDEX(PaymentSchedule[INTEREST],1,1):PaymentSchedule[[#This Row],[INTEREST]]),"")</f>
        <v>#VALUE!</v>
      </c>
    </row>
    <row r="137" spans="2:11">
      <c r="B137" s="10">
        <f ca="1">IF(LoanIsGood,IF(ROW()-ROW(PaymentSchedule[[#Headers],[PMT NO]])&gt;ScheduledNumberOfPayments,"",ROW()-ROW(PaymentSchedule[[#Headers],[PMT NO]])),"")</f>
        <v>121</v>
      </c>
      <c r="C137" s="12">
        <f ca="1">IF(PaymentSchedule[[#This Row],[PMT NO]]&lt;&gt;"",EOMONTH(LoanStartDate,ROW(PaymentSchedule[[#This Row],[PMT NO]])-ROW(PaymentSchedule[[#Headers],[PMT NO]])-2)+DAY(LoanStartDate),"")</f>
        <v>49615</v>
      </c>
      <c r="D13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7" s="14">
        <f ca="1">IF(PaymentSchedule[[#This Row],[PMT NO]]&lt;&gt;"",ScheduledPayment,"")</f>
        <v>1073.6432460242781</v>
      </c>
      <c r="F1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7" s="14" t="e">
        <f ca="1">IF(PaymentSchedule[[#This Row],[PMT NO]]&lt;&gt;"",PaymentSchedule[[#This Row],[TOTAL PAYMENT]]-PaymentSchedule[[#This Row],[INTEREST]],"")</f>
        <v>#VALUE!</v>
      </c>
      <c r="I137" s="14" t="e">
        <f ca="1">IF(PaymentSchedule[[#This Row],[PMT NO]]&lt;&gt;"",PaymentSchedule[[#This Row],[BEGINNING BALANCE]]*(InterestRate/PaymentsPerYear),"")</f>
        <v>#VALUE!</v>
      </c>
      <c r="J137" s="14" t="s">
        <v>32</v>
      </c>
      <c r="K137" s="14" t="e">
        <f ca="1">IF(PaymentSchedule[[#This Row],[PMT NO]]&lt;&gt;"",SUM(INDEX(PaymentSchedule[INTEREST],1,1):PaymentSchedule[[#This Row],[INTEREST]]),"")</f>
        <v>#VALUE!</v>
      </c>
    </row>
    <row r="138" spans="2:11">
      <c r="B138" s="10">
        <f ca="1">IF(LoanIsGood,IF(ROW()-ROW(PaymentSchedule[[#Headers],[PMT NO]])&gt;ScheduledNumberOfPayments,"",ROW()-ROW(PaymentSchedule[[#Headers],[PMT NO]])),"")</f>
        <v>122</v>
      </c>
      <c r="C138" s="12">
        <f ca="1">IF(PaymentSchedule[[#This Row],[PMT NO]]&lt;&gt;"",EOMONTH(LoanStartDate,ROW(PaymentSchedule[[#This Row],[PMT NO]])-ROW(PaymentSchedule[[#Headers],[PMT NO]])-2)+DAY(LoanStartDate),"")</f>
        <v>49645</v>
      </c>
      <c r="D13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8" s="14">
        <f ca="1">IF(PaymentSchedule[[#This Row],[PMT NO]]&lt;&gt;"",ScheduledPayment,"")</f>
        <v>1073.6432460242781</v>
      </c>
      <c r="F1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8" s="14" t="e">
        <f ca="1">IF(PaymentSchedule[[#This Row],[PMT NO]]&lt;&gt;"",PaymentSchedule[[#This Row],[TOTAL PAYMENT]]-PaymentSchedule[[#This Row],[INTEREST]],"")</f>
        <v>#VALUE!</v>
      </c>
      <c r="I138" s="14" t="e">
        <f ca="1">IF(PaymentSchedule[[#This Row],[PMT NO]]&lt;&gt;"",PaymentSchedule[[#This Row],[BEGINNING BALANCE]]*(InterestRate/PaymentsPerYear),"")</f>
        <v>#VALUE!</v>
      </c>
      <c r="J138" s="14" t="s">
        <v>32</v>
      </c>
      <c r="K138" s="14" t="e">
        <f ca="1">IF(PaymentSchedule[[#This Row],[PMT NO]]&lt;&gt;"",SUM(INDEX(PaymentSchedule[INTEREST],1,1):PaymentSchedule[[#This Row],[INTEREST]]),"")</f>
        <v>#VALUE!</v>
      </c>
    </row>
    <row r="139" spans="2:11">
      <c r="B139" s="10">
        <f ca="1">IF(LoanIsGood,IF(ROW()-ROW(PaymentSchedule[[#Headers],[PMT NO]])&gt;ScheduledNumberOfPayments,"",ROW()-ROW(PaymentSchedule[[#Headers],[PMT NO]])),"")</f>
        <v>123</v>
      </c>
      <c r="C139" s="12">
        <f ca="1">IF(PaymentSchedule[[#This Row],[PMT NO]]&lt;&gt;"",EOMONTH(LoanStartDate,ROW(PaymentSchedule[[#This Row],[PMT NO]])-ROW(PaymentSchedule[[#Headers],[PMT NO]])-2)+DAY(LoanStartDate),"")</f>
        <v>49676</v>
      </c>
      <c r="D13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39" s="14">
        <f ca="1">IF(PaymentSchedule[[#This Row],[PMT NO]]&lt;&gt;"",ScheduledPayment,"")</f>
        <v>1073.6432460242781</v>
      </c>
      <c r="F1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39" s="14" t="e">
        <f ca="1">IF(PaymentSchedule[[#This Row],[PMT NO]]&lt;&gt;"",PaymentSchedule[[#This Row],[TOTAL PAYMENT]]-PaymentSchedule[[#This Row],[INTEREST]],"")</f>
        <v>#VALUE!</v>
      </c>
      <c r="I139" s="14" t="e">
        <f ca="1">IF(PaymentSchedule[[#This Row],[PMT NO]]&lt;&gt;"",PaymentSchedule[[#This Row],[BEGINNING BALANCE]]*(InterestRate/PaymentsPerYear),"")</f>
        <v>#VALUE!</v>
      </c>
      <c r="J139" s="14" t="s">
        <v>32</v>
      </c>
      <c r="K139" s="14" t="e">
        <f ca="1">IF(PaymentSchedule[[#This Row],[PMT NO]]&lt;&gt;"",SUM(INDEX(PaymentSchedule[INTEREST],1,1):PaymentSchedule[[#This Row],[INTEREST]]),"")</f>
        <v>#VALUE!</v>
      </c>
    </row>
    <row r="140" spans="2:11">
      <c r="B140" s="10">
        <f ca="1">IF(LoanIsGood,IF(ROW()-ROW(PaymentSchedule[[#Headers],[PMT NO]])&gt;ScheduledNumberOfPayments,"",ROW()-ROW(PaymentSchedule[[#Headers],[PMT NO]])),"")</f>
        <v>124</v>
      </c>
      <c r="C140" s="12">
        <f ca="1">IF(PaymentSchedule[[#This Row],[PMT NO]]&lt;&gt;"",EOMONTH(LoanStartDate,ROW(PaymentSchedule[[#This Row],[PMT NO]])-ROW(PaymentSchedule[[#Headers],[PMT NO]])-2)+DAY(LoanStartDate),"")</f>
        <v>49707</v>
      </c>
      <c r="D14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0" s="14">
        <f ca="1">IF(PaymentSchedule[[#This Row],[PMT NO]]&lt;&gt;"",ScheduledPayment,"")</f>
        <v>1073.6432460242781</v>
      </c>
      <c r="F1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0" s="14" t="e">
        <f ca="1">IF(PaymentSchedule[[#This Row],[PMT NO]]&lt;&gt;"",PaymentSchedule[[#This Row],[TOTAL PAYMENT]]-PaymentSchedule[[#This Row],[INTEREST]],"")</f>
        <v>#VALUE!</v>
      </c>
      <c r="I140" s="14" t="e">
        <f ca="1">IF(PaymentSchedule[[#This Row],[PMT NO]]&lt;&gt;"",PaymentSchedule[[#This Row],[BEGINNING BALANCE]]*(InterestRate/PaymentsPerYear),"")</f>
        <v>#VALUE!</v>
      </c>
      <c r="J140" s="14" t="s">
        <v>32</v>
      </c>
      <c r="K140" s="14" t="e">
        <f ca="1">IF(PaymentSchedule[[#This Row],[PMT NO]]&lt;&gt;"",SUM(INDEX(PaymentSchedule[INTEREST],1,1):PaymentSchedule[[#This Row],[INTEREST]]),"")</f>
        <v>#VALUE!</v>
      </c>
    </row>
    <row r="141" spans="2:11">
      <c r="B141" s="10">
        <f ca="1">IF(LoanIsGood,IF(ROW()-ROW(PaymentSchedule[[#Headers],[PMT NO]])&gt;ScheduledNumberOfPayments,"",ROW()-ROW(PaymentSchedule[[#Headers],[PMT NO]])),"")</f>
        <v>125</v>
      </c>
      <c r="C141" s="12">
        <f ca="1">IF(PaymentSchedule[[#This Row],[PMT NO]]&lt;&gt;"",EOMONTH(LoanStartDate,ROW(PaymentSchedule[[#This Row],[PMT NO]])-ROW(PaymentSchedule[[#Headers],[PMT NO]])-2)+DAY(LoanStartDate),"")</f>
        <v>49736</v>
      </c>
      <c r="D14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1" s="14">
        <f ca="1">IF(PaymentSchedule[[#This Row],[PMT NO]]&lt;&gt;"",ScheduledPayment,"")</f>
        <v>1073.6432460242781</v>
      </c>
      <c r="F1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1" s="14" t="e">
        <f ca="1">IF(PaymentSchedule[[#This Row],[PMT NO]]&lt;&gt;"",PaymentSchedule[[#This Row],[TOTAL PAYMENT]]-PaymentSchedule[[#This Row],[INTEREST]],"")</f>
        <v>#VALUE!</v>
      </c>
      <c r="I141" s="14" t="e">
        <f ca="1">IF(PaymentSchedule[[#This Row],[PMT NO]]&lt;&gt;"",PaymentSchedule[[#This Row],[BEGINNING BALANCE]]*(InterestRate/PaymentsPerYear),"")</f>
        <v>#VALUE!</v>
      </c>
      <c r="J141" s="14" t="s">
        <v>32</v>
      </c>
      <c r="K141" s="14" t="e">
        <f ca="1">IF(PaymentSchedule[[#This Row],[PMT NO]]&lt;&gt;"",SUM(INDEX(PaymentSchedule[INTEREST],1,1):PaymentSchedule[[#This Row],[INTEREST]]),"")</f>
        <v>#VALUE!</v>
      </c>
    </row>
    <row r="142" spans="2:11">
      <c r="B142" s="10">
        <f ca="1">IF(LoanIsGood,IF(ROW()-ROW(PaymentSchedule[[#Headers],[PMT NO]])&gt;ScheduledNumberOfPayments,"",ROW()-ROW(PaymentSchedule[[#Headers],[PMT NO]])),"")</f>
        <v>126</v>
      </c>
      <c r="C142" s="12">
        <f ca="1">IF(PaymentSchedule[[#This Row],[PMT NO]]&lt;&gt;"",EOMONTH(LoanStartDate,ROW(PaymentSchedule[[#This Row],[PMT NO]])-ROW(PaymentSchedule[[#Headers],[PMT NO]])-2)+DAY(LoanStartDate),"")</f>
        <v>49767</v>
      </c>
      <c r="D14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2" s="14">
        <f ca="1">IF(PaymentSchedule[[#This Row],[PMT NO]]&lt;&gt;"",ScheduledPayment,"")</f>
        <v>1073.6432460242781</v>
      </c>
      <c r="F1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2" s="14" t="e">
        <f ca="1">IF(PaymentSchedule[[#This Row],[PMT NO]]&lt;&gt;"",PaymentSchedule[[#This Row],[TOTAL PAYMENT]]-PaymentSchedule[[#This Row],[INTEREST]],"")</f>
        <v>#VALUE!</v>
      </c>
      <c r="I142" s="14" t="e">
        <f ca="1">IF(PaymentSchedule[[#This Row],[PMT NO]]&lt;&gt;"",PaymentSchedule[[#This Row],[BEGINNING BALANCE]]*(InterestRate/PaymentsPerYear),"")</f>
        <v>#VALUE!</v>
      </c>
      <c r="J142" s="14" t="s">
        <v>32</v>
      </c>
      <c r="K142" s="14" t="e">
        <f ca="1">IF(PaymentSchedule[[#This Row],[PMT NO]]&lt;&gt;"",SUM(INDEX(PaymentSchedule[INTEREST],1,1):PaymentSchedule[[#This Row],[INTEREST]]),"")</f>
        <v>#VALUE!</v>
      </c>
    </row>
    <row r="143" spans="2:11">
      <c r="B143" s="10">
        <f ca="1">IF(LoanIsGood,IF(ROW()-ROW(PaymentSchedule[[#Headers],[PMT NO]])&gt;ScheduledNumberOfPayments,"",ROW()-ROW(PaymentSchedule[[#Headers],[PMT NO]])),"")</f>
        <v>127</v>
      </c>
      <c r="C143" s="12">
        <f ca="1">IF(PaymentSchedule[[#This Row],[PMT NO]]&lt;&gt;"",EOMONTH(LoanStartDate,ROW(PaymentSchedule[[#This Row],[PMT NO]])-ROW(PaymentSchedule[[#Headers],[PMT NO]])-2)+DAY(LoanStartDate),"")</f>
        <v>49797</v>
      </c>
      <c r="D14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3" s="14">
        <f ca="1">IF(PaymentSchedule[[#This Row],[PMT NO]]&lt;&gt;"",ScheduledPayment,"")</f>
        <v>1073.6432460242781</v>
      </c>
      <c r="F1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3" s="14" t="e">
        <f ca="1">IF(PaymentSchedule[[#This Row],[PMT NO]]&lt;&gt;"",PaymentSchedule[[#This Row],[TOTAL PAYMENT]]-PaymentSchedule[[#This Row],[INTEREST]],"")</f>
        <v>#VALUE!</v>
      </c>
      <c r="I143" s="14" t="e">
        <f ca="1">IF(PaymentSchedule[[#This Row],[PMT NO]]&lt;&gt;"",PaymentSchedule[[#This Row],[BEGINNING BALANCE]]*(InterestRate/PaymentsPerYear),"")</f>
        <v>#VALUE!</v>
      </c>
      <c r="J143" s="14" t="s">
        <v>32</v>
      </c>
      <c r="K143" s="14" t="e">
        <f ca="1">IF(PaymentSchedule[[#This Row],[PMT NO]]&lt;&gt;"",SUM(INDEX(PaymentSchedule[INTEREST],1,1):PaymentSchedule[[#This Row],[INTEREST]]),"")</f>
        <v>#VALUE!</v>
      </c>
    </row>
    <row r="144" spans="2:11">
      <c r="B144" s="10">
        <f ca="1">IF(LoanIsGood,IF(ROW()-ROW(PaymentSchedule[[#Headers],[PMT NO]])&gt;ScheduledNumberOfPayments,"",ROW()-ROW(PaymentSchedule[[#Headers],[PMT NO]])),"")</f>
        <v>128</v>
      </c>
      <c r="C144" s="12">
        <f ca="1">IF(PaymentSchedule[[#This Row],[PMT NO]]&lt;&gt;"",EOMONTH(LoanStartDate,ROW(PaymentSchedule[[#This Row],[PMT NO]])-ROW(PaymentSchedule[[#Headers],[PMT NO]])-2)+DAY(LoanStartDate),"")</f>
        <v>49828</v>
      </c>
      <c r="D14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4" s="14">
        <f ca="1">IF(PaymentSchedule[[#This Row],[PMT NO]]&lt;&gt;"",ScheduledPayment,"")</f>
        <v>1073.6432460242781</v>
      </c>
      <c r="F1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4" s="14" t="e">
        <f ca="1">IF(PaymentSchedule[[#This Row],[PMT NO]]&lt;&gt;"",PaymentSchedule[[#This Row],[TOTAL PAYMENT]]-PaymentSchedule[[#This Row],[INTEREST]],"")</f>
        <v>#VALUE!</v>
      </c>
      <c r="I144" s="14" t="e">
        <f ca="1">IF(PaymentSchedule[[#This Row],[PMT NO]]&lt;&gt;"",PaymentSchedule[[#This Row],[BEGINNING BALANCE]]*(InterestRate/PaymentsPerYear),"")</f>
        <v>#VALUE!</v>
      </c>
      <c r="J144" s="14" t="s">
        <v>32</v>
      </c>
      <c r="K144" s="14" t="e">
        <f ca="1">IF(PaymentSchedule[[#This Row],[PMT NO]]&lt;&gt;"",SUM(INDEX(PaymentSchedule[INTEREST],1,1):PaymentSchedule[[#This Row],[INTEREST]]),"")</f>
        <v>#VALUE!</v>
      </c>
    </row>
    <row r="145" spans="2:11">
      <c r="B145" s="10">
        <f ca="1">IF(LoanIsGood,IF(ROW()-ROW(PaymentSchedule[[#Headers],[PMT NO]])&gt;ScheduledNumberOfPayments,"",ROW()-ROW(PaymentSchedule[[#Headers],[PMT NO]])),"")</f>
        <v>129</v>
      </c>
      <c r="C145" s="12">
        <f ca="1">IF(PaymentSchedule[[#This Row],[PMT NO]]&lt;&gt;"",EOMONTH(LoanStartDate,ROW(PaymentSchedule[[#This Row],[PMT NO]])-ROW(PaymentSchedule[[#Headers],[PMT NO]])-2)+DAY(LoanStartDate),"")</f>
        <v>49858</v>
      </c>
      <c r="D14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5" s="14">
        <f ca="1">IF(PaymentSchedule[[#This Row],[PMT NO]]&lt;&gt;"",ScheduledPayment,"")</f>
        <v>1073.6432460242781</v>
      </c>
      <c r="F1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5" s="14" t="e">
        <f ca="1">IF(PaymentSchedule[[#This Row],[PMT NO]]&lt;&gt;"",PaymentSchedule[[#This Row],[TOTAL PAYMENT]]-PaymentSchedule[[#This Row],[INTEREST]],"")</f>
        <v>#VALUE!</v>
      </c>
      <c r="I145" s="14" t="e">
        <f ca="1">IF(PaymentSchedule[[#This Row],[PMT NO]]&lt;&gt;"",PaymentSchedule[[#This Row],[BEGINNING BALANCE]]*(InterestRate/PaymentsPerYear),"")</f>
        <v>#VALUE!</v>
      </c>
      <c r="J145" s="14" t="s">
        <v>32</v>
      </c>
      <c r="K145" s="14" t="e">
        <f ca="1">IF(PaymentSchedule[[#This Row],[PMT NO]]&lt;&gt;"",SUM(INDEX(PaymentSchedule[INTEREST],1,1):PaymentSchedule[[#This Row],[INTEREST]]),"")</f>
        <v>#VALUE!</v>
      </c>
    </row>
    <row r="146" spans="2:11">
      <c r="B146" s="10">
        <f ca="1">IF(LoanIsGood,IF(ROW()-ROW(PaymentSchedule[[#Headers],[PMT NO]])&gt;ScheduledNumberOfPayments,"",ROW()-ROW(PaymentSchedule[[#Headers],[PMT NO]])),"")</f>
        <v>130</v>
      </c>
      <c r="C146" s="12">
        <f ca="1">IF(PaymentSchedule[[#This Row],[PMT NO]]&lt;&gt;"",EOMONTH(LoanStartDate,ROW(PaymentSchedule[[#This Row],[PMT NO]])-ROW(PaymentSchedule[[#Headers],[PMT NO]])-2)+DAY(LoanStartDate),"")</f>
        <v>49889</v>
      </c>
      <c r="D14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6" s="14">
        <f ca="1">IF(PaymentSchedule[[#This Row],[PMT NO]]&lt;&gt;"",ScheduledPayment,"")</f>
        <v>1073.6432460242781</v>
      </c>
      <c r="F1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6" s="14" t="e">
        <f ca="1">IF(PaymentSchedule[[#This Row],[PMT NO]]&lt;&gt;"",PaymentSchedule[[#This Row],[TOTAL PAYMENT]]-PaymentSchedule[[#This Row],[INTEREST]],"")</f>
        <v>#VALUE!</v>
      </c>
      <c r="I146" s="14" t="e">
        <f ca="1">IF(PaymentSchedule[[#This Row],[PMT NO]]&lt;&gt;"",PaymentSchedule[[#This Row],[BEGINNING BALANCE]]*(InterestRate/PaymentsPerYear),"")</f>
        <v>#VALUE!</v>
      </c>
      <c r="J146" s="14" t="s">
        <v>32</v>
      </c>
      <c r="K146" s="14" t="e">
        <f ca="1">IF(PaymentSchedule[[#This Row],[PMT NO]]&lt;&gt;"",SUM(INDEX(PaymentSchedule[INTEREST],1,1):PaymentSchedule[[#This Row],[INTEREST]]),"")</f>
        <v>#VALUE!</v>
      </c>
    </row>
    <row r="147" spans="2:11">
      <c r="B147" s="10">
        <f ca="1">IF(LoanIsGood,IF(ROW()-ROW(PaymentSchedule[[#Headers],[PMT NO]])&gt;ScheduledNumberOfPayments,"",ROW()-ROW(PaymentSchedule[[#Headers],[PMT NO]])),"")</f>
        <v>131</v>
      </c>
      <c r="C147" s="12">
        <f ca="1">IF(PaymentSchedule[[#This Row],[PMT NO]]&lt;&gt;"",EOMONTH(LoanStartDate,ROW(PaymentSchedule[[#This Row],[PMT NO]])-ROW(PaymentSchedule[[#Headers],[PMT NO]])-2)+DAY(LoanStartDate),"")</f>
        <v>49920</v>
      </c>
      <c r="D14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7" s="14">
        <f ca="1">IF(PaymentSchedule[[#This Row],[PMT NO]]&lt;&gt;"",ScheduledPayment,"")</f>
        <v>1073.6432460242781</v>
      </c>
      <c r="F1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7" s="14" t="e">
        <f ca="1">IF(PaymentSchedule[[#This Row],[PMT NO]]&lt;&gt;"",PaymentSchedule[[#This Row],[TOTAL PAYMENT]]-PaymentSchedule[[#This Row],[INTEREST]],"")</f>
        <v>#VALUE!</v>
      </c>
      <c r="I147" s="14" t="e">
        <f ca="1">IF(PaymentSchedule[[#This Row],[PMT NO]]&lt;&gt;"",PaymentSchedule[[#This Row],[BEGINNING BALANCE]]*(InterestRate/PaymentsPerYear),"")</f>
        <v>#VALUE!</v>
      </c>
      <c r="J147" s="14" t="s">
        <v>32</v>
      </c>
      <c r="K147" s="14" t="e">
        <f ca="1">IF(PaymentSchedule[[#This Row],[PMT NO]]&lt;&gt;"",SUM(INDEX(PaymentSchedule[INTEREST],1,1):PaymentSchedule[[#This Row],[INTEREST]]),"")</f>
        <v>#VALUE!</v>
      </c>
    </row>
    <row r="148" spans="2:11">
      <c r="B148" s="10">
        <f ca="1">IF(LoanIsGood,IF(ROW()-ROW(PaymentSchedule[[#Headers],[PMT NO]])&gt;ScheduledNumberOfPayments,"",ROW()-ROW(PaymentSchedule[[#Headers],[PMT NO]])),"")</f>
        <v>132</v>
      </c>
      <c r="C148" s="12">
        <f ca="1">IF(PaymentSchedule[[#This Row],[PMT NO]]&lt;&gt;"",EOMONTH(LoanStartDate,ROW(PaymentSchedule[[#This Row],[PMT NO]])-ROW(PaymentSchedule[[#Headers],[PMT NO]])-2)+DAY(LoanStartDate),"")</f>
        <v>49950</v>
      </c>
      <c r="D14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8" s="14">
        <f ca="1">IF(PaymentSchedule[[#This Row],[PMT NO]]&lt;&gt;"",ScheduledPayment,"")</f>
        <v>1073.6432460242781</v>
      </c>
      <c r="F1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8" s="14" t="e">
        <f ca="1">IF(PaymentSchedule[[#This Row],[PMT NO]]&lt;&gt;"",PaymentSchedule[[#This Row],[TOTAL PAYMENT]]-PaymentSchedule[[#This Row],[INTEREST]],"")</f>
        <v>#VALUE!</v>
      </c>
      <c r="I148" s="14" t="e">
        <f ca="1">IF(PaymentSchedule[[#This Row],[PMT NO]]&lt;&gt;"",PaymentSchedule[[#This Row],[BEGINNING BALANCE]]*(InterestRate/PaymentsPerYear),"")</f>
        <v>#VALUE!</v>
      </c>
      <c r="J148" s="14" t="s">
        <v>32</v>
      </c>
      <c r="K148" s="14" t="e">
        <f ca="1">IF(PaymentSchedule[[#This Row],[PMT NO]]&lt;&gt;"",SUM(INDEX(PaymentSchedule[INTEREST],1,1):PaymentSchedule[[#This Row],[INTEREST]]),"")</f>
        <v>#VALUE!</v>
      </c>
    </row>
    <row r="149" spans="2:11">
      <c r="B149" s="10">
        <f ca="1">IF(LoanIsGood,IF(ROW()-ROW(PaymentSchedule[[#Headers],[PMT NO]])&gt;ScheduledNumberOfPayments,"",ROW()-ROW(PaymentSchedule[[#Headers],[PMT NO]])),"")</f>
        <v>133</v>
      </c>
      <c r="C149" s="12">
        <f ca="1">IF(PaymentSchedule[[#This Row],[PMT NO]]&lt;&gt;"",EOMONTH(LoanStartDate,ROW(PaymentSchedule[[#This Row],[PMT NO]])-ROW(PaymentSchedule[[#Headers],[PMT NO]])-2)+DAY(LoanStartDate),"")</f>
        <v>49981</v>
      </c>
      <c r="D14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49" s="14">
        <f ca="1">IF(PaymentSchedule[[#This Row],[PMT NO]]&lt;&gt;"",ScheduledPayment,"")</f>
        <v>1073.6432460242781</v>
      </c>
      <c r="F1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49" s="14" t="e">
        <f ca="1">IF(PaymentSchedule[[#This Row],[PMT NO]]&lt;&gt;"",PaymentSchedule[[#This Row],[TOTAL PAYMENT]]-PaymentSchedule[[#This Row],[INTEREST]],"")</f>
        <v>#VALUE!</v>
      </c>
      <c r="I149" s="14" t="e">
        <f ca="1">IF(PaymentSchedule[[#This Row],[PMT NO]]&lt;&gt;"",PaymentSchedule[[#This Row],[BEGINNING BALANCE]]*(InterestRate/PaymentsPerYear),"")</f>
        <v>#VALUE!</v>
      </c>
      <c r="J149" s="14" t="s">
        <v>32</v>
      </c>
      <c r="K149" s="14" t="e">
        <f ca="1">IF(PaymentSchedule[[#This Row],[PMT NO]]&lt;&gt;"",SUM(INDEX(PaymentSchedule[INTEREST],1,1):PaymentSchedule[[#This Row],[INTEREST]]),"")</f>
        <v>#VALUE!</v>
      </c>
    </row>
    <row r="150" spans="2:11">
      <c r="B150" s="10">
        <f ca="1">IF(LoanIsGood,IF(ROW()-ROW(PaymentSchedule[[#Headers],[PMT NO]])&gt;ScheduledNumberOfPayments,"",ROW()-ROW(PaymentSchedule[[#Headers],[PMT NO]])),"")</f>
        <v>134</v>
      </c>
      <c r="C150" s="12">
        <f ca="1">IF(PaymentSchedule[[#This Row],[PMT NO]]&lt;&gt;"",EOMONTH(LoanStartDate,ROW(PaymentSchedule[[#This Row],[PMT NO]])-ROW(PaymentSchedule[[#Headers],[PMT NO]])-2)+DAY(LoanStartDate),"")</f>
        <v>50011</v>
      </c>
      <c r="D15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0" s="14">
        <f ca="1">IF(PaymentSchedule[[#This Row],[PMT NO]]&lt;&gt;"",ScheduledPayment,"")</f>
        <v>1073.6432460242781</v>
      </c>
      <c r="F1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0" s="14" t="e">
        <f ca="1">IF(PaymentSchedule[[#This Row],[PMT NO]]&lt;&gt;"",PaymentSchedule[[#This Row],[TOTAL PAYMENT]]-PaymentSchedule[[#This Row],[INTEREST]],"")</f>
        <v>#VALUE!</v>
      </c>
      <c r="I150" s="14" t="e">
        <f ca="1">IF(PaymentSchedule[[#This Row],[PMT NO]]&lt;&gt;"",PaymentSchedule[[#This Row],[BEGINNING BALANCE]]*(InterestRate/PaymentsPerYear),"")</f>
        <v>#VALUE!</v>
      </c>
      <c r="J150" s="14" t="s">
        <v>32</v>
      </c>
      <c r="K150" s="14" t="e">
        <f ca="1">IF(PaymentSchedule[[#This Row],[PMT NO]]&lt;&gt;"",SUM(INDEX(PaymentSchedule[INTEREST],1,1):PaymentSchedule[[#This Row],[INTEREST]]),"")</f>
        <v>#VALUE!</v>
      </c>
    </row>
    <row r="151" spans="2:11">
      <c r="B151" s="10">
        <f ca="1">IF(LoanIsGood,IF(ROW()-ROW(PaymentSchedule[[#Headers],[PMT NO]])&gt;ScheduledNumberOfPayments,"",ROW()-ROW(PaymentSchedule[[#Headers],[PMT NO]])),"")</f>
        <v>135</v>
      </c>
      <c r="C151" s="12">
        <f ca="1">IF(PaymentSchedule[[#This Row],[PMT NO]]&lt;&gt;"",EOMONTH(LoanStartDate,ROW(PaymentSchedule[[#This Row],[PMT NO]])-ROW(PaymentSchedule[[#Headers],[PMT NO]])-2)+DAY(LoanStartDate),"")</f>
        <v>50042</v>
      </c>
      <c r="D15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1" s="14">
        <f ca="1">IF(PaymentSchedule[[#This Row],[PMT NO]]&lt;&gt;"",ScheduledPayment,"")</f>
        <v>1073.6432460242781</v>
      </c>
      <c r="F1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1" s="14" t="e">
        <f ca="1">IF(PaymentSchedule[[#This Row],[PMT NO]]&lt;&gt;"",PaymentSchedule[[#This Row],[TOTAL PAYMENT]]-PaymentSchedule[[#This Row],[INTEREST]],"")</f>
        <v>#VALUE!</v>
      </c>
      <c r="I151" s="14" t="e">
        <f ca="1">IF(PaymentSchedule[[#This Row],[PMT NO]]&lt;&gt;"",PaymentSchedule[[#This Row],[BEGINNING BALANCE]]*(InterestRate/PaymentsPerYear),"")</f>
        <v>#VALUE!</v>
      </c>
      <c r="J151" s="14" t="s">
        <v>32</v>
      </c>
      <c r="K151" s="14" t="e">
        <f ca="1">IF(PaymentSchedule[[#This Row],[PMT NO]]&lt;&gt;"",SUM(INDEX(PaymentSchedule[INTEREST],1,1):PaymentSchedule[[#This Row],[INTEREST]]),"")</f>
        <v>#VALUE!</v>
      </c>
    </row>
    <row r="152" spans="2:11">
      <c r="B152" s="10">
        <f ca="1">IF(LoanIsGood,IF(ROW()-ROW(PaymentSchedule[[#Headers],[PMT NO]])&gt;ScheduledNumberOfPayments,"",ROW()-ROW(PaymentSchedule[[#Headers],[PMT NO]])),"")</f>
        <v>136</v>
      </c>
      <c r="C152" s="12">
        <f ca="1">IF(PaymentSchedule[[#This Row],[PMT NO]]&lt;&gt;"",EOMONTH(LoanStartDate,ROW(PaymentSchedule[[#This Row],[PMT NO]])-ROW(PaymentSchedule[[#Headers],[PMT NO]])-2)+DAY(LoanStartDate),"")</f>
        <v>50073</v>
      </c>
      <c r="D15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2" s="14">
        <f ca="1">IF(PaymentSchedule[[#This Row],[PMT NO]]&lt;&gt;"",ScheduledPayment,"")</f>
        <v>1073.6432460242781</v>
      </c>
      <c r="F1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2" s="14" t="e">
        <f ca="1">IF(PaymentSchedule[[#This Row],[PMT NO]]&lt;&gt;"",PaymentSchedule[[#This Row],[TOTAL PAYMENT]]-PaymentSchedule[[#This Row],[INTEREST]],"")</f>
        <v>#VALUE!</v>
      </c>
      <c r="I152" s="14" t="e">
        <f ca="1">IF(PaymentSchedule[[#This Row],[PMT NO]]&lt;&gt;"",PaymentSchedule[[#This Row],[BEGINNING BALANCE]]*(InterestRate/PaymentsPerYear),"")</f>
        <v>#VALUE!</v>
      </c>
      <c r="J152" s="14" t="s">
        <v>32</v>
      </c>
      <c r="K152" s="14" t="e">
        <f ca="1">IF(PaymentSchedule[[#This Row],[PMT NO]]&lt;&gt;"",SUM(INDEX(PaymentSchedule[INTEREST],1,1):PaymentSchedule[[#This Row],[INTEREST]]),"")</f>
        <v>#VALUE!</v>
      </c>
    </row>
    <row r="153" spans="2:11">
      <c r="B153" s="10">
        <f ca="1">IF(LoanIsGood,IF(ROW()-ROW(PaymentSchedule[[#Headers],[PMT NO]])&gt;ScheduledNumberOfPayments,"",ROW()-ROW(PaymentSchedule[[#Headers],[PMT NO]])),"")</f>
        <v>137</v>
      </c>
      <c r="C153" s="12">
        <f ca="1">IF(PaymentSchedule[[#This Row],[PMT NO]]&lt;&gt;"",EOMONTH(LoanStartDate,ROW(PaymentSchedule[[#This Row],[PMT NO]])-ROW(PaymentSchedule[[#Headers],[PMT NO]])-2)+DAY(LoanStartDate),"")</f>
        <v>50101</v>
      </c>
      <c r="D15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3" s="14">
        <f ca="1">IF(PaymentSchedule[[#This Row],[PMT NO]]&lt;&gt;"",ScheduledPayment,"")</f>
        <v>1073.6432460242781</v>
      </c>
      <c r="F1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3" s="14" t="e">
        <f ca="1">IF(PaymentSchedule[[#This Row],[PMT NO]]&lt;&gt;"",PaymentSchedule[[#This Row],[TOTAL PAYMENT]]-PaymentSchedule[[#This Row],[INTEREST]],"")</f>
        <v>#VALUE!</v>
      </c>
      <c r="I153" s="14" t="e">
        <f ca="1">IF(PaymentSchedule[[#This Row],[PMT NO]]&lt;&gt;"",PaymentSchedule[[#This Row],[BEGINNING BALANCE]]*(InterestRate/PaymentsPerYear),"")</f>
        <v>#VALUE!</v>
      </c>
      <c r="J153" s="14" t="s">
        <v>32</v>
      </c>
      <c r="K153" s="14" t="e">
        <f ca="1">IF(PaymentSchedule[[#This Row],[PMT NO]]&lt;&gt;"",SUM(INDEX(PaymentSchedule[INTEREST],1,1):PaymentSchedule[[#This Row],[INTEREST]]),"")</f>
        <v>#VALUE!</v>
      </c>
    </row>
    <row r="154" spans="2:11">
      <c r="B154" s="10">
        <f ca="1">IF(LoanIsGood,IF(ROW()-ROW(PaymentSchedule[[#Headers],[PMT NO]])&gt;ScheduledNumberOfPayments,"",ROW()-ROW(PaymentSchedule[[#Headers],[PMT NO]])),"")</f>
        <v>138</v>
      </c>
      <c r="C154" s="12">
        <f ca="1">IF(PaymentSchedule[[#This Row],[PMT NO]]&lt;&gt;"",EOMONTH(LoanStartDate,ROW(PaymentSchedule[[#This Row],[PMT NO]])-ROW(PaymentSchedule[[#Headers],[PMT NO]])-2)+DAY(LoanStartDate),"")</f>
        <v>50132</v>
      </c>
      <c r="D15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4" s="14">
        <f ca="1">IF(PaymentSchedule[[#This Row],[PMT NO]]&lt;&gt;"",ScheduledPayment,"")</f>
        <v>1073.6432460242781</v>
      </c>
      <c r="F1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4" s="14" t="e">
        <f ca="1">IF(PaymentSchedule[[#This Row],[PMT NO]]&lt;&gt;"",PaymentSchedule[[#This Row],[TOTAL PAYMENT]]-PaymentSchedule[[#This Row],[INTEREST]],"")</f>
        <v>#VALUE!</v>
      </c>
      <c r="I154" s="14" t="e">
        <f ca="1">IF(PaymentSchedule[[#This Row],[PMT NO]]&lt;&gt;"",PaymentSchedule[[#This Row],[BEGINNING BALANCE]]*(InterestRate/PaymentsPerYear),"")</f>
        <v>#VALUE!</v>
      </c>
      <c r="J154" s="14" t="s">
        <v>32</v>
      </c>
      <c r="K154" s="14" t="e">
        <f ca="1">IF(PaymentSchedule[[#This Row],[PMT NO]]&lt;&gt;"",SUM(INDEX(PaymentSchedule[INTEREST],1,1):PaymentSchedule[[#This Row],[INTEREST]]),"")</f>
        <v>#VALUE!</v>
      </c>
    </row>
    <row r="155" spans="2:11">
      <c r="B155" s="10">
        <f ca="1">IF(LoanIsGood,IF(ROW()-ROW(PaymentSchedule[[#Headers],[PMT NO]])&gt;ScheduledNumberOfPayments,"",ROW()-ROW(PaymentSchedule[[#Headers],[PMT NO]])),"")</f>
        <v>139</v>
      </c>
      <c r="C155" s="12">
        <f ca="1">IF(PaymentSchedule[[#This Row],[PMT NO]]&lt;&gt;"",EOMONTH(LoanStartDate,ROW(PaymentSchedule[[#This Row],[PMT NO]])-ROW(PaymentSchedule[[#Headers],[PMT NO]])-2)+DAY(LoanStartDate),"")</f>
        <v>50162</v>
      </c>
      <c r="D15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5" s="14">
        <f ca="1">IF(PaymentSchedule[[#This Row],[PMT NO]]&lt;&gt;"",ScheduledPayment,"")</f>
        <v>1073.6432460242781</v>
      </c>
      <c r="F1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5" s="14" t="e">
        <f ca="1">IF(PaymentSchedule[[#This Row],[PMT NO]]&lt;&gt;"",PaymentSchedule[[#This Row],[TOTAL PAYMENT]]-PaymentSchedule[[#This Row],[INTEREST]],"")</f>
        <v>#VALUE!</v>
      </c>
      <c r="I155" s="14" t="e">
        <f ca="1">IF(PaymentSchedule[[#This Row],[PMT NO]]&lt;&gt;"",PaymentSchedule[[#This Row],[BEGINNING BALANCE]]*(InterestRate/PaymentsPerYear),"")</f>
        <v>#VALUE!</v>
      </c>
      <c r="J155" s="14" t="s">
        <v>32</v>
      </c>
      <c r="K155" s="14" t="e">
        <f ca="1">IF(PaymentSchedule[[#This Row],[PMT NO]]&lt;&gt;"",SUM(INDEX(PaymentSchedule[INTEREST],1,1):PaymentSchedule[[#This Row],[INTEREST]]),"")</f>
        <v>#VALUE!</v>
      </c>
    </row>
    <row r="156" spans="2:11">
      <c r="B156" s="10">
        <f ca="1">IF(LoanIsGood,IF(ROW()-ROW(PaymentSchedule[[#Headers],[PMT NO]])&gt;ScheduledNumberOfPayments,"",ROW()-ROW(PaymentSchedule[[#Headers],[PMT NO]])),"")</f>
        <v>140</v>
      </c>
      <c r="C156" s="12">
        <f ca="1">IF(PaymentSchedule[[#This Row],[PMT NO]]&lt;&gt;"",EOMONTH(LoanStartDate,ROW(PaymentSchedule[[#This Row],[PMT NO]])-ROW(PaymentSchedule[[#Headers],[PMT NO]])-2)+DAY(LoanStartDate),"")</f>
        <v>50193</v>
      </c>
      <c r="D15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6" s="14">
        <f ca="1">IF(PaymentSchedule[[#This Row],[PMT NO]]&lt;&gt;"",ScheduledPayment,"")</f>
        <v>1073.6432460242781</v>
      </c>
      <c r="F1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6" s="14" t="e">
        <f ca="1">IF(PaymentSchedule[[#This Row],[PMT NO]]&lt;&gt;"",PaymentSchedule[[#This Row],[TOTAL PAYMENT]]-PaymentSchedule[[#This Row],[INTEREST]],"")</f>
        <v>#VALUE!</v>
      </c>
      <c r="I156" s="14" t="e">
        <f ca="1">IF(PaymentSchedule[[#This Row],[PMT NO]]&lt;&gt;"",PaymentSchedule[[#This Row],[BEGINNING BALANCE]]*(InterestRate/PaymentsPerYear),"")</f>
        <v>#VALUE!</v>
      </c>
      <c r="J156" s="14" t="s">
        <v>32</v>
      </c>
      <c r="K156" s="14" t="e">
        <f ca="1">IF(PaymentSchedule[[#This Row],[PMT NO]]&lt;&gt;"",SUM(INDEX(PaymentSchedule[INTEREST],1,1):PaymentSchedule[[#This Row],[INTEREST]]),"")</f>
        <v>#VALUE!</v>
      </c>
    </row>
    <row r="157" spans="2:11">
      <c r="B157" s="10">
        <f ca="1">IF(LoanIsGood,IF(ROW()-ROW(PaymentSchedule[[#Headers],[PMT NO]])&gt;ScheduledNumberOfPayments,"",ROW()-ROW(PaymentSchedule[[#Headers],[PMT NO]])),"")</f>
        <v>141</v>
      </c>
      <c r="C157" s="12">
        <f ca="1">IF(PaymentSchedule[[#This Row],[PMT NO]]&lt;&gt;"",EOMONTH(LoanStartDate,ROW(PaymentSchedule[[#This Row],[PMT NO]])-ROW(PaymentSchedule[[#Headers],[PMT NO]])-2)+DAY(LoanStartDate),"")</f>
        <v>50223</v>
      </c>
      <c r="D15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7" s="14">
        <f ca="1">IF(PaymentSchedule[[#This Row],[PMT NO]]&lt;&gt;"",ScheduledPayment,"")</f>
        <v>1073.6432460242781</v>
      </c>
      <c r="F1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7" s="14" t="e">
        <f ca="1">IF(PaymentSchedule[[#This Row],[PMT NO]]&lt;&gt;"",PaymentSchedule[[#This Row],[TOTAL PAYMENT]]-PaymentSchedule[[#This Row],[INTEREST]],"")</f>
        <v>#VALUE!</v>
      </c>
      <c r="I157" s="14" t="e">
        <f ca="1">IF(PaymentSchedule[[#This Row],[PMT NO]]&lt;&gt;"",PaymentSchedule[[#This Row],[BEGINNING BALANCE]]*(InterestRate/PaymentsPerYear),"")</f>
        <v>#VALUE!</v>
      </c>
      <c r="J157" s="14" t="s">
        <v>32</v>
      </c>
      <c r="K157" s="14" t="e">
        <f ca="1">IF(PaymentSchedule[[#This Row],[PMT NO]]&lt;&gt;"",SUM(INDEX(PaymentSchedule[INTEREST],1,1):PaymentSchedule[[#This Row],[INTEREST]]),"")</f>
        <v>#VALUE!</v>
      </c>
    </row>
    <row r="158" spans="2:11">
      <c r="B158" s="10">
        <f ca="1">IF(LoanIsGood,IF(ROW()-ROW(PaymentSchedule[[#Headers],[PMT NO]])&gt;ScheduledNumberOfPayments,"",ROW()-ROW(PaymentSchedule[[#Headers],[PMT NO]])),"")</f>
        <v>142</v>
      </c>
      <c r="C158" s="12">
        <f ca="1">IF(PaymentSchedule[[#This Row],[PMT NO]]&lt;&gt;"",EOMONTH(LoanStartDate,ROW(PaymentSchedule[[#This Row],[PMT NO]])-ROW(PaymentSchedule[[#Headers],[PMT NO]])-2)+DAY(LoanStartDate),"")</f>
        <v>50254</v>
      </c>
      <c r="D15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8" s="14">
        <f ca="1">IF(PaymentSchedule[[#This Row],[PMT NO]]&lt;&gt;"",ScheduledPayment,"")</f>
        <v>1073.6432460242781</v>
      </c>
      <c r="F1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8" s="14" t="e">
        <f ca="1">IF(PaymentSchedule[[#This Row],[PMT NO]]&lt;&gt;"",PaymentSchedule[[#This Row],[TOTAL PAYMENT]]-PaymentSchedule[[#This Row],[INTEREST]],"")</f>
        <v>#VALUE!</v>
      </c>
      <c r="I158" s="14" t="e">
        <f ca="1">IF(PaymentSchedule[[#This Row],[PMT NO]]&lt;&gt;"",PaymentSchedule[[#This Row],[BEGINNING BALANCE]]*(InterestRate/PaymentsPerYear),"")</f>
        <v>#VALUE!</v>
      </c>
      <c r="J158" s="14" t="s">
        <v>32</v>
      </c>
      <c r="K158" s="14" t="e">
        <f ca="1">IF(PaymentSchedule[[#This Row],[PMT NO]]&lt;&gt;"",SUM(INDEX(PaymentSchedule[INTEREST],1,1):PaymentSchedule[[#This Row],[INTEREST]]),"")</f>
        <v>#VALUE!</v>
      </c>
    </row>
    <row r="159" spans="2:11">
      <c r="B159" s="10">
        <f ca="1">IF(LoanIsGood,IF(ROW()-ROW(PaymentSchedule[[#Headers],[PMT NO]])&gt;ScheduledNumberOfPayments,"",ROW()-ROW(PaymentSchedule[[#Headers],[PMT NO]])),"")</f>
        <v>143</v>
      </c>
      <c r="C159" s="12">
        <f ca="1">IF(PaymentSchedule[[#This Row],[PMT NO]]&lt;&gt;"",EOMONTH(LoanStartDate,ROW(PaymentSchedule[[#This Row],[PMT NO]])-ROW(PaymentSchedule[[#Headers],[PMT NO]])-2)+DAY(LoanStartDate),"")</f>
        <v>50285</v>
      </c>
      <c r="D15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59" s="14">
        <f ca="1">IF(PaymentSchedule[[#This Row],[PMT NO]]&lt;&gt;"",ScheduledPayment,"")</f>
        <v>1073.6432460242781</v>
      </c>
      <c r="F1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59" s="14" t="e">
        <f ca="1">IF(PaymentSchedule[[#This Row],[PMT NO]]&lt;&gt;"",PaymentSchedule[[#This Row],[TOTAL PAYMENT]]-PaymentSchedule[[#This Row],[INTEREST]],"")</f>
        <v>#VALUE!</v>
      </c>
      <c r="I159" s="14" t="e">
        <f ca="1">IF(PaymentSchedule[[#This Row],[PMT NO]]&lt;&gt;"",PaymentSchedule[[#This Row],[BEGINNING BALANCE]]*(InterestRate/PaymentsPerYear),"")</f>
        <v>#VALUE!</v>
      </c>
      <c r="J159" s="14" t="s">
        <v>32</v>
      </c>
      <c r="K159" s="14" t="e">
        <f ca="1">IF(PaymentSchedule[[#This Row],[PMT NO]]&lt;&gt;"",SUM(INDEX(PaymentSchedule[INTEREST],1,1):PaymentSchedule[[#This Row],[INTEREST]]),"")</f>
        <v>#VALUE!</v>
      </c>
    </row>
    <row r="160" spans="2:11">
      <c r="B160" s="10">
        <f ca="1">IF(LoanIsGood,IF(ROW()-ROW(PaymentSchedule[[#Headers],[PMT NO]])&gt;ScheduledNumberOfPayments,"",ROW()-ROW(PaymentSchedule[[#Headers],[PMT NO]])),"")</f>
        <v>144</v>
      </c>
      <c r="C160" s="12">
        <f ca="1">IF(PaymentSchedule[[#This Row],[PMT NO]]&lt;&gt;"",EOMONTH(LoanStartDate,ROW(PaymentSchedule[[#This Row],[PMT NO]])-ROW(PaymentSchedule[[#Headers],[PMT NO]])-2)+DAY(LoanStartDate),"")</f>
        <v>50315</v>
      </c>
      <c r="D16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0" s="14">
        <f ca="1">IF(PaymentSchedule[[#This Row],[PMT NO]]&lt;&gt;"",ScheduledPayment,"")</f>
        <v>1073.6432460242781</v>
      </c>
      <c r="F1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0" s="14" t="e">
        <f ca="1">IF(PaymentSchedule[[#This Row],[PMT NO]]&lt;&gt;"",PaymentSchedule[[#This Row],[TOTAL PAYMENT]]-PaymentSchedule[[#This Row],[INTEREST]],"")</f>
        <v>#VALUE!</v>
      </c>
      <c r="I160" s="14" t="e">
        <f ca="1">IF(PaymentSchedule[[#This Row],[PMT NO]]&lt;&gt;"",PaymentSchedule[[#This Row],[BEGINNING BALANCE]]*(InterestRate/PaymentsPerYear),"")</f>
        <v>#VALUE!</v>
      </c>
      <c r="J160" s="14" t="s">
        <v>32</v>
      </c>
      <c r="K160" s="14" t="e">
        <f ca="1">IF(PaymentSchedule[[#This Row],[PMT NO]]&lt;&gt;"",SUM(INDEX(PaymentSchedule[INTEREST],1,1):PaymentSchedule[[#This Row],[INTEREST]]),"")</f>
        <v>#VALUE!</v>
      </c>
    </row>
    <row r="161" spans="2:11">
      <c r="B161" s="10">
        <f ca="1">IF(LoanIsGood,IF(ROW()-ROW(PaymentSchedule[[#Headers],[PMT NO]])&gt;ScheduledNumberOfPayments,"",ROW()-ROW(PaymentSchedule[[#Headers],[PMT NO]])),"")</f>
        <v>145</v>
      </c>
      <c r="C161" s="12">
        <f ca="1">IF(PaymentSchedule[[#This Row],[PMT NO]]&lt;&gt;"",EOMONTH(LoanStartDate,ROW(PaymentSchedule[[#This Row],[PMT NO]])-ROW(PaymentSchedule[[#Headers],[PMT NO]])-2)+DAY(LoanStartDate),"")</f>
        <v>50346</v>
      </c>
      <c r="D16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1" s="14">
        <f ca="1">IF(PaymentSchedule[[#This Row],[PMT NO]]&lt;&gt;"",ScheduledPayment,"")</f>
        <v>1073.6432460242781</v>
      </c>
      <c r="F1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1" s="14" t="e">
        <f ca="1">IF(PaymentSchedule[[#This Row],[PMT NO]]&lt;&gt;"",PaymentSchedule[[#This Row],[TOTAL PAYMENT]]-PaymentSchedule[[#This Row],[INTEREST]],"")</f>
        <v>#VALUE!</v>
      </c>
      <c r="I161" s="14" t="e">
        <f ca="1">IF(PaymentSchedule[[#This Row],[PMT NO]]&lt;&gt;"",PaymentSchedule[[#This Row],[BEGINNING BALANCE]]*(InterestRate/PaymentsPerYear),"")</f>
        <v>#VALUE!</v>
      </c>
      <c r="J161" s="14" t="s">
        <v>32</v>
      </c>
      <c r="K161" s="14" t="e">
        <f ca="1">IF(PaymentSchedule[[#This Row],[PMT NO]]&lt;&gt;"",SUM(INDEX(PaymentSchedule[INTEREST],1,1):PaymentSchedule[[#This Row],[INTEREST]]),"")</f>
        <v>#VALUE!</v>
      </c>
    </row>
    <row r="162" spans="2:11">
      <c r="B162" s="10">
        <f ca="1">IF(LoanIsGood,IF(ROW()-ROW(PaymentSchedule[[#Headers],[PMT NO]])&gt;ScheduledNumberOfPayments,"",ROW()-ROW(PaymentSchedule[[#Headers],[PMT NO]])),"")</f>
        <v>146</v>
      </c>
      <c r="C162" s="12">
        <f ca="1">IF(PaymentSchedule[[#This Row],[PMT NO]]&lt;&gt;"",EOMONTH(LoanStartDate,ROW(PaymentSchedule[[#This Row],[PMT NO]])-ROW(PaymentSchedule[[#Headers],[PMT NO]])-2)+DAY(LoanStartDate),"")</f>
        <v>50376</v>
      </c>
      <c r="D16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2" s="14">
        <f ca="1">IF(PaymentSchedule[[#This Row],[PMT NO]]&lt;&gt;"",ScheduledPayment,"")</f>
        <v>1073.6432460242781</v>
      </c>
      <c r="F1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2" s="14" t="e">
        <f ca="1">IF(PaymentSchedule[[#This Row],[PMT NO]]&lt;&gt;"",PaymentSchedule[[#This Row],[TOTAL PAYMENT]]-PaymentSchedule[[#This Row],[INTEREST]],"")</f>
        <v>#VALUE!</v>
      </c>
      <c r="I162" s="14" t="e">
        <f ca="1">IF(PaymentSchedule[[#This Row],[PMT NO]]&lt;&gt;"",PaymentSchedule[[#This Row],[BEGINNING BALANCE]]*(InterestRate/PaymentsPerYear),"")</f>
        <v>#VALUE!</v>
      </c>
      <c r="J162" s="14" t="s">
        <v>32</v>
      </c>
      <c r="K162" s="14" t="e">
        <f ca="1">IF(PaymentSchedule[[#This Row],[PMT NO]]&lt;&gt;"",SUM(INDEX(PaymentSchedule[INTEREST],1,1):PaymentSchedule[[#This Row],[INTEREST]]),"")</f>
        <v>#VALUE!</v>
      </c>
    </row>
    <row r="163" spans="2:11">
      <c r="B163" s="10">
        <f ca="1">IF(LoanIsGood,IF(ROW()-ROW(PaymentSchedule[[#Headers],[PMT NO]])&gt;ScheduledNumberOfPayments,"",ROW()-ROW(PaymentSchedule[[#Headers],[PMT NO]])),"")</f>
        <v>147</v>
      </c>
      <c r="C163" s="12">
        <f ca="1">IF(PaymentSchedule[[#This Row],[PMT NO]]&lt;&gt;"",EOMONTH(LoanStartDate,ROW(PaymentSchedule[[#This Row],[PMT NO]])-ROW(PaymentSchedule[[#Headers],[PMT NO]])-2)+DAY(LoanStartDate),"")</f>
        <v>50407</v>
      </c>
      <c r="D16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3" s="14">
        <f ca="1">IF(PaymentSchedule[[#This Row],[PMT NO]]&lt;&gt;"",ScheduledPayment,"")</f>
        <v>1073.6432460242781</v>
      </c>
      <c r="F1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3" s="14" t="e">
        <f ca="1">IF(PaymentSchedule[[#This Row],[PMT NO]]&lt;&gt;"",PaymentSchedule[[#This Row],[TOTAL PAYMENT]]-PaymentSchedule[[#This Row],[INTEREST]],"")</f>
        <v>#VALUE!</v>
      </c>
      <c r="I163" s="14" t="e">
        <f ca="1">IF(PaymentSchedule[[#This Row],[PMT NO]]&lt;&gt;"",PaymentSchedule[[#This Row],[BEGINNING BALANCE]]*(InterestRate/PaymentsPerYear),"")</f>
        <v>#VALUE!</v>
      </c>
      <c r="J163" s="14" t="s">
        <v>32</v>
      </c>
      <c r="K163" s="14" t="e">
        <f ca="1">IF(PaymentSchedule[[#This Row],[PMT NO]]&lt;&gt;"",SUM(INDEX(PaymentSchedule[INTEREST],1,1):PaymentSchedule[[#This Row],[INTEREST]]),"")</f>
        <v>#VALUE!</v>
      </c>
    </row>
    <row r="164" spans="2:11">
      <c r="B164" s="10">
        <f ca="1">IF(LoanIsGood,IF(ROW()-ROW(PaymentSchedule[[#Headers],[PMT NO]])&gt;ScheduledNumberOfPayments,"",ROW()-ROW(PaymentSchedule[[#Headers],[PMT NO]])),"")</f>
        <v>148</v>
      </c>
      <c r="C164" s="12">
        <f ca="1">IF(PaymentSchedule[[#This Row],[PMT NO]]&lt;&gt;"",EOMONTH(LoanStartDate,ROW(PaymentSchedule[[#This Row],[PMT NO]])-ROW(PaymentSchedule[[#Headers],[PMT NO]])-2)+DAY(LoanStartDate),"")</f>
        <v>50438</v>
      </c>
      <c r="D16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4" s="14">
        <f ca="1">IF(PaymentSchedule[[#This Row],[PMT NO]]&lt;&gt;"",ScheduledPayment,"")</f>
        <v>1073.6432460242781</v>
      </c>
      <c r="F1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4" s="14" t="e">
        <f ca="1">IF(PaymentSchedule[[#This Row],[PMT NO]]&lt;&gt;"",PaymentSchedule[[#This Row],[TOTAL PAYMENT]]-PaymentSchedule[[#This Row],[INTEREST]],"")</f>
        <v>#VALUE!</v>
      </c>
      <c r="I164" s="14" t="e">
        <f ca="1">IF(PaymentSchedule[[#This Row],[PMT NO]]&lt;&gt;"",PaymentSchedule[[#This Row],[BEGINNING BALANCE]]*(InterestRate/PaymentsPerYear),"")</f>
        <v>#VALUE!</v>
      </c>
      <c r="J164" s="14" t="s">
        <v>32</v>
      </c>
      <c r="K164" s="14" t="e">
        <f ca="1">IF(PaymentSchedule[[#This Row],[PMT NO]]&lt;&gt;"",SUM(INDEX(PaymentSchedule[INTEREST],1,1):PaymentSchedule[[#This Row],[INTEREST]]),"")</f>
        <v>#VALUE!</v>
      </c>
    </row>
    <row r="165" spans="2:11">
      <c r="B165" s="10">
        <f ca="1">IF(LoanIsGood,IF(ROW()-ROW(PaymentSchedule[[#Headers],[PMT NO]])&gt;ScheduledNumberOfPayments,"",ROW()-ROW(PaymentSchedule[[#Headers],[PMT NO]])),"")</f>
        <v>149</v>
      </c>
      <c r="C165" s="12">
        <f ca="1">IF(PaymentSchedule[[#This Row],[PMT NO]]&lt;&gt;"",EOMONTH(LoanStartDate,ROW(PaymentSchedule[[#This Row],[PMT NO]])-ROW(PaymentSchedule[[#Headers],[PMT NO]])-2)+DAY(LoanStartDate),"")</f>
        <v>50466</v>
      </c>
      <c r="D16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5" s="14">
        <f ca="1">IF(PaymentSchedule[[#This Row],[PMT NO]]&lt;&gt;"",ScheduledPayment,"")</f>
        <v>1073.6432460242781</v>
      </c>
      <c r="F1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5" s="14" t="e">
        <f ca="1">IF(PaymentSchedule[[#This Row],[PMT NO]]&lt;&gt;"",PaymentSchedule[[#This Row],[TOTAL PAYMENT]]-PaymentSchedule[[#This Row],[INTEREST]],"")</f>
        <v>#VALUE!</v>
      </c>
      <c r="I165" s="14" t="e">
        <f ca="1">IF(PaymentSchedule[[#This Row],[PMT NO]]&lt;&gt;"",PaymentSchedule[[#This Row],[BEGINNING BALANCE]]*(InterestRate/PaymentsPerYear),"")</f>
        <v>#VALUE!</v>
      </c>
      <c r="J165" s="14" t="s">
        <v>32</v>
      </c>
      <c r="K165" s="14" t="e">
        <f ca="1">IF(PaymentSchedule[[#This Row],[PMT NO]]&lt;&gt;"",SUM(INDEX(PaymentSchedule[INTEREST],1,1):PaymentSchedule[[#This Row],[INTEREST]]),"")</f>
        <v>#VALUE!</v>
      </c>
    </row>
    <row r="166" spans="2:11">
      <c r="B166" s="10">
        <f ca="1">IF(LoanIsGood,IF(ROW()-ROW(PaymentSchedule[[#Headers],[PMT NO]])&gt;ScheduledNumberOfPayments,"",ROW()-ROW(PaymentSchedule[[#Headers],[PMT NO]])),"")</f>
        <v>150</v>
      </c>
      <c r="C166" s="12">
        <f ca="1">IF(PaymentSchedule[[#This Row],[PMT NO]]&lt;&gt;"",EOMONTH(LoanStartDate,ROW(PaymentSchedule[[#This Row],[PMT NO]])-ROW(PaymentSchedule[[#Headers],[PMT NO]])-2)+DAY(LoanStartDate),"")</f>
        <v>50497</v>
      </c>
      <c r="D16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6" s="14">
        <f ca="1">IF(PaymentSchedule[[#This Row],[PMT NO]]&lt;&gt;"",ScheduledPayment,"")</f>
        <v>1073.6432460242781</v>
      </c>
      <c r="F1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6" s="14" t="e">
        <f ca="1">IF(PaymentSchedule[[#This Row],[PMT NO]]&lt;&gt;"",PaymentSchedule[[#This Row],[TOTAL PAYMENT]]-PaymentSchedule[[#This Row],[INTEREST]],"")</f>
        <v>#VALUE!</v>
      </c>
      <c r="I166" s="14" t="e">
        <f ca="1">IF(PaymentSchedule[[#This Row],[PMT NO]]&lt;&gt;"",PaymentSchedule[[#This Row],[BEGINNING BALANCE]]*(InterestRate/PaymentsPerYear),"")</f>
        <v>#VALUE!</v>
      </c>
      <c r="J166" s="14" t="s">
        <v>32</v>
      </c>
      <c r="K166" s="14" t="e">
        <f ca="1">IF(PaymentSchedule[[#This Row],[PMT NO]]&lt;&gt;"",SUM(INDEX(PaymentSchedule[INTEREST],1,1):PaymentSchedule[[#This Row],[INTEREST]]),"")</f>
        <v>#VALUE!</v>
      </c>
    </row>
    <row r="167" spans="2:11">
      <c r="B167" s="10">
        <f ca="1">IF(LoanIsGood,IF(ROW()-ROW(PaymentSchedule[[#Headers],[PMT NO]])&gt;ScheduledNumberOfPayments,"",ROW()-ROW(PaymentSchedule[[#Headers],[PMT NO]])),"")</f>
        <v>151</v>
      </c>
      <c r="C167" s="12">
        <f ca="1">IF(PaymentSchedule[[#This Row],[PMT NO]]&lt;&gt;"",EOMONTH(LoanStartDate,ROW(PaymentSchedule[[#This Row],[PMT NO]])-ROW(PaymentSchedule[[#Headers],[PMT NO]])-2)+DAY(LoanStartDate),"")</f>
        <v>50527</v>
      </c>
      <c r="D16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7" s="14">
        <f ca="1">IF(PaymentSchedule[[#This Row],[PMT NO]]&lt;&gt;"",ScheduledPayment,"")</f>
        <v>1073.6432460242781</v>
      </c>
      <c r="F1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7" s="14" t="e">
        <f ca="1">IF(PaymentSchedule[[#This Row],[PMT NO]]&lt;&gt;"",PaymentSchedule[[#This Row],[TOTAL PAYMENT]]-PaymentSchedule[[#This Row],[INTEREST]],"")</f>
        <v>#VALUE!</v>
      </c>
      <c r="I167" s="14" t="e">
        <f ca="1">IF(PaymentSchedule[[#This Row],[PMT NO]]&lt;&gt;"",PaymentSchedule[[#This Row],[BEGINNING BALANCE]]*(InterestRate/PaymentsPerYear),"")</f>
        <v>#VALUE!</v>
      </c>
      <c r="J167" s="14" t="s">
        <v>32</v>
      </c>
      <c r="K167" s="14" t="e">
        <f ca="1">IF(PaymentSchedule[[#This Row],[PMT NO]]&lt;&gt;"",SUM(INDEX(PaymentSchedule[INTEREST],1,1):PaymentSchedule[[#This Row],[INTEREST]]),"")</f>
        <v>#VALUE!</v>
      </c>
    </row>
    <row r="168" spans="2:11">
      <c r="B168" s="10">
        <f ca="1">IF(LoanIsGood,IF(ROW()-ROW(PaymentSchedule[[#Headers],[PMT NO]])&gt;ScheduledNumberOfPayments,"",ROW()-ROW(PaymentSchedule[[#Headers],[PMT NO]])),"")</f>
        <v>152</v>
      </c>
      <c r="C168" s="12">
        <f ca="1">IF(PaymentSchedule[[#This Row],[PMT NO]]&lt;&gt;"",EOMONTH(LoanStartDate,ROW(PaymentSchedule[[#This Row],[PMT NO]])-ROW(PaymentSchedule[[#Headers],[PMT NO]])-2)+DAY(LoanStartDate),"")</f>
        <v>50558</v>
      </c>
      <c r="D16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8" s="14">
        <f ca="1">IF(PaymentSchedule[[#This Row],[PMT NO]]&lt;&gt;"",ScheduledPayment,"")</f>
        <v>1073.6432460242781</v>
      </c>
      <c r="F1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8" s="14" t="e">
        <f ca="1">IF(PaymentSchedule[[#This Row],[PMT NO]]&lt;&gt;"",PaymentSchedule[[#This Row],[TOTAL PAYMENT]]-PaymentSchedule[[#This Row],[INTEREST]],"")</f>
        <v>#VALUE!</v>
      </c>
      <c r="I168" s="14" t="e">
        <f ca="1">IF(PaymentSchedule[[#This Row],[PMT NO]]&lt;&gt;"",PaymentSchedule[[#This Row],[BEGINNING BALANCE]]*(InterestRate/PaymentsPerYear),"")</f>
        <v>#VALUE!</v>
      </c>
      <c r="J168" s="14" t="s">
        <v>32</v>
      </c>
      <c r="K168" s="14" t="e">
        <f ca="1">IF(PaymentSchedule[[#This Row],[PMT NO]]&lt;&gt;"",SUM(INDEX(PaymentSchedule[INTEREST],1,1):PaymentSchedule[[#This Row],[INTEREST]]),"")</f>
        <v>#VALUE!</v>
      </c>
    </row>
    <row r="169" spans="2:11">
      <c r="B169" s="10">
        <f ca="1">IF(LoanIsGood,IF(ROW()-ROW(PaymentSchedule[[#Headers],[PMT NO]])&gt;ScheduledNumberOfPayments,"",ROW()-ROW(PaymentSchedule[[#Headers],[PMT NO]])),"")</f>
        <v>153</v>
      </c>
      <c r="C169" s="12">
        <f ca="1">IF(PaymentSchedule[[#This Row],[PMT NO]]&lt;&gt;"",EOMONTH(LoanStartDate,ROW(PaymentSchedule[[#This Row],[PMT NO]])-ROW(PaymentSchedule[[#Headers],[PMT NO]])-2)+DAY(LoanStartDate),"")</f>
        <v>50588</v>
      </c>
      <c r="D16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69" s="14">
        <f ca="1">IF(PaymentSchedule[[#This Row],[PMT NO]]&lt;&gt;"",ScheduledPayment,"")</f>
        <v>1073.6432460242781</v>
      </c>
      <c r="F1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69" s="14" t="e">
        <f ca="1">IF(PaymentSchedule[[#This Row],[PMT NO]]&lt;&gt;"",PaymentSchedule[[#This Row],[TOTAL PAYMENT]]-PaymentSchedule[[#This Row],[INTEREST]],"")</f>
        <v>#VALUE!</v>
      </c>
      <c r="I169" s="14" t="e">
        <f ca="1">IF(PaymentSchedule[[#This Row],[PMT NO]]&lt;&gt;"",PaymentSchedule[[#This Row],[BEGINNING BALANCE]]*(InterestRate/PaymentsPerYear),"")</f>
        <v>#VALUE!</v>
      </c>
      <c r="J169" s="14" t="s">
        <v>32</v>
      </c>
      <c r="K169" s="14" t="e">
        <f ca="1">IF(PaymentSchedule[[#This Row],[PMT NO]]&lt;&gt;"",SUM(INDEX(PaymentSchedule[INTEREST],1,1):PaymentSchedule[[#This Row],[INTEREST]]),"")</f>
        <v>#VALUE!</v>
      </c>
    </row>
    <row r="170" spans="2:11">
      <c r="B170" s="10">
        <f ca="1">IF(LoanIsGood,IF(ROW()-ROW(PaymentSchedule[[#Headers],[PMT NO]])&gt;ScheduledNumberOfPayments,"",ROW()-ROW(PaymentSchedule[[#Headers],[PMT NO]])),"")</f>
        <v>154</v>
      </c>
      <c r="C170" s="12">
        <f ca="1">IF(PaymentSchedule[[#This Row],[PMT NO]]&lt;&gt;"",EOMONTH(LoanStartDate,ROW(PaymentSchedule[[#This Row],[PMT NO]])-ROW(PaymentSchedule[[#Headers],[PMT NO]])-2)+DAY(LoanStartDate),"")</f>
        <v>50619</v>
      </c>
      <c r="D17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0" s="14">
        <f ca="1">IF(PaymentSchedule[[#This Row],[PMT NO]]&lt;&gt;"",ScheduledPayment,"")</f>
        <v>1073.6432460242781</v>
      </c>
      <c r="F1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0" s="14" t="e">
        <f ca="1">IF(PaymentSchedule[[#This Row],[PMT NO]]&lt;&gt;"",PaymentSchedule[[#This Row],[TOTAL PAYMENT]]-PaymentSchedule[[#This Row],[INTEREST]],"")</f>
        <v>#VALUE!</v>
      </c>
      <c r="I170" s="14" t="e">
        <f ca="1">IF(PaymentSchedule[[#This Row],[PMT NO]]&lt;&gt;"",PaymentSchedule[[#This Row],[BEGINNING BALANCE]]*(InterestRate/PaymentsPerYear),"")</f>
        <v>#VALUE!</v>
      </c>
      <c r="J170" s="14" t="s">
        <v>32</v>
      </c>
      <c r="K170" s="14" t="e">
        <f ca="1">IF(PaymentSchedule[[#This Row],[PMT NO]]&lt;&gt;"",SUM(INDEX(PaymentSchedule[INTEREST],1,1):PaymentSchedule[[#This Row],[INTEREST]]),"")</f>
        <v>#VALUE!</v>
      </c>
    </row>
    <row r="171" spans="2:11">
      <c r="B171" s="10">
        <f ca="1">IF(LoanIsGood,IF(ROW()-ROW(PaymentSchedule[[#Headers],[PMT NO]])&gt;ScheduledNumberOfPayments,"",ROW()-ROW(PaymentSchedule[[#Headers],[PMT NO]])),"")</f>
        <v>155</v>
      </c>
      <c r="C171" s="12">
        <f ca="1">IF(PaymentSchedule[[#This Row],[PMT NO]]&lt;&gt;"",EOMONTH(LoanStartDate,ROW(PaymentSchedule[[#This Row],[PMT NO]])-ROW(PaymentSchedule[[#Headers],[PMT NO]])-2)+DAY(LoanStartDate),"")</f>
        <v>50650</v>
      </c>
      <c r="D17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1" s="14">
        <f ca="1">IF(PaymentSchedule[[#This Row],[PMT NO]]&lt;&gt;"",ScheduledPayment,"")</f>
        <v>1073.6432460242781</v>
      </c>
      <c r="F1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1" s="14" t="e">
        <f ca="1">IF(PaymentSchedule[[#This Row],[PMT NO]]&lt;&gt;"",PaymentSchedule[[#This Row],[TOTAL PAYMENT]]-PaymentSchedule[[#This Row],[INTEREST]],"")</f>
        <v>#VALUE!</v>
      </c>
      <c r="I171" s="14" t="e">
        <f ca="1">IF(PaymentSchedule[[#This Row],[PMT NO]]&lt;&gt;"",PaymentSchedule[[#This Row],[BEGINNING BALANCE]]*(InterestRate/PaymentsPerYear),"")</f>
        <v>#VALUE!</v>
      </c>
      <c r="J171" s="14" t="s">
        <v>32</v>
      </c>
      <c r="K171" s="14" t="e">
        <f ca="1">IF(PaymentSchedule[[#This Row],[PMT NO]]&lt;&gt;"",SUM(INDEX(PaymentSchedule[INTEREST],1,1):PaymentSchedule[[#This Row],[INTEREST]]),"")</f>
        <v>#VALUE!</v>
      </c>
    </row>
    <row r="172" spans="2:11">
      <c r="B172" s="10">
        <f ca="1">IF(LoanIsGood,IF(ROW()-ROW(PaymentSchedule[[#Headers],[PMT NO]])&gt;ScheduledNumberOfPayments,"",ROW()-ROW(PaymentSchedule[[#Headers],[PMT NO]])),"")</f>
        <v>156</v>
      </c>
      <c r="C172" s="12">
        <f ca="1">IF(PaymentSchedule[[#This Row],[PMT NO]]&lt;&gt;"",EOMONTH(LoanStartDate,ROW(PaymentSchedule[[#This Row],[PMT NO]])-ROW(PaymentSchedule[[#Headers],[PMT NO]])-2)+DAY(LoanStartDate),"")</f>
        <v>50680</v>
      </c>
      <c r="D17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2" s="14">
        <f ca="1">IF(PaymentSchedule[[#This Row],[PMT NO]]&lt;&gt;"",ScheduledPayment,"")</f>
        <v>1073.6432460242781</v>
      </c>
      <c r="F1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2" s="14" t="e">
        <f ca="1">IF(PaymentSchedule[[#This Row],[PMT NO]]&lt;&gt;"",PaymentSchedule[[#This Row],[TOTAL PAYMENT]]-PaymentSchedule[[#This Row],[INTEREST]],"")</f>
        <v>#VALUE!</v>
      </c>
      <c r="I172" s="14" t="e">
        <f ca="1">IF(PaymentSchedule[[#This Row],[PMT NO]]&lt;&gt;"",PaymentSchedule[[#This Row],[BEGINNING BALANCE]]*(InterestRate/PaymentsPerYear),"")</f>
        <v>#VALUE!</v>
      </c>
      <c r="J172" s="14" t="s">
        <v>32</v>
      </c>
      <c r="K172" s="14" t="e">
        <f ca="1">IF(PaymentSchedule[[#This Row],[PMT NO]]&lt;&gt;"",SUM(INDEX(PaymentSchedule[INTEREST],1,1):PaymentSchedule[[#This Row],[INTEREST]]),"")</f>
        <v>#VALUE!</v>
      </c>
    </row>
    <row r="173" spans="2:11">
      <c r="B173" s="10">
        <f ca="1">IF(LoanIsGood,IF(ROW()-ROW(PaymentSchedule[[#Headers],[PMT NO]])&gt;ScheduledNumberOfPayments,"",ROW()-ROW(PaymentSchedule[[#Headers],[PMT NO]])),"")</f>
        <v>157</v>
      </c>
      <c r="C173" s="12">
        <f ca="1">IF(PaymentSchedule[[#This Row],[PMT NO]]&lt;&gt;"",EOMONTH(LoanStartDate,ROW(PaymentSchedule[[#This Row],[PMT NO]])-ROW(PaymentSchedule[[#Headers],[PMT NO]])-2)+DAY(LoanStartDate),"")</f>
        <v>50711</v>
      </c>
      <c r="D17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3" s="14">
        <f ca="1">IF(PaymentSchedule[[#This Row],[PMT NO]]&lt;&gt;"",ScheduledPayment,"")</f>
        <v>1073.6432460242781</v>
      </c>
      <c r="F1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3" s="14" t="e">
        <f ca="1">IF(PaymentSchedule[[#This Row],[PMT NO]]&lt;&gt;"",PaymentSchedule[[#This Row],[TOTAL PAYMENT]]-PaymentSchedule[[#This Row],[INTEREST]],"")</f>
        <v>#VALUE!</v>
      </c>
      <c r="I173" s="14" t="e">
        <f ca="1">IF(PaymentSchedule[[#This Row],[PMT NO]]&lt;&gt;"",PaymentSchedule[[#This Row],[BEGINNING BALANCE]]*(InterestRate/PaymentsPerYear),"")</f>
        <v>#VALUE!</v>
      </c>
      <c r="J173" s="14" t="s">
        <v>32</v>
      </c>
      <c r="K173" s="14" t="e">
        <f ca="1">IF(PaymentSchedule[[#This Row],[PMT NO]]&lt;&gt;"",SUM(INDEX(PaymentSchedule[INTEREST],1,1):PaymentSchedule[[#This Row],[INTEREST]]),"")</f>
        <v>#VALUE!</v>
      </c>
    </row>
    <row r="174" spans="2:11">
      <c r="B174" s="10">
        <f ca="1">IF(LoanIsGood,IF(ROW()-ROW(PaymentSchedule[[#Headers],[PMT NO]])&gt;ScheduledNumberOfPayments,"",ROW()-ROW(PaymentSchedule[[#Headers],[PMT NO]])),"")</f>
        <v>158</v>
      </c>
      <c r="C174" s="12">
        <f ca="1">IF(PaymentSchedule[[#This Row],[PMT NO]]&lt;&gt;"",EOMONTH(LoanStartDate,ROW(PaymentSchedule[[#This Row],[PMT NO]])-ROW(PaymentSchedule[[#Headers],[PMT NO]])-2)+DAY(LoanStartDate),"")</f>
        <v>50741</v>
      </c>
      <c r="D17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4" s="14">
        <f ca="1">IF(PaymentSchedule[[#This Row],[PMT NO]]&lt;&gt;"",ScheduledPayment,"")</f>
        <v>1073.6432460242781</v>
      </c>
      <c r="F1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4" s="14" t="e">
        <f ca="1">IF(PaymentSchedule[[#This Row],[PMT NO]]&lt;&gt;"",PaymentSchedule[[#This Row],[TOTAL PAYMENT]]-PaymentSchedule[[#This Row],[INTEREST]],"")</f>
        <v>#VALUE!</v>
      </c>
      <c r="I174" s="14" t="e">
        <f ca="1">IF(PaymentSchedule[[#This Row],[PMT NO]]&lt;&gt;"",PaymentSchedule[[#This Row],[BEGINNING BALANCE]]*(InterestRate/PaymentsPerYear),"")</f>
        <v>#VALUE!</v>
      </c>
      <c r="J174" s="14" t="s">
        <v>32</v>
      </c>
      <c r="K174" s="14" t="e">
        <f ca="1">IF(PaymentSchedule[[#This Row],[PMT NO]]&lt;&gt;"",SUM(INDEX(PaymentSchedule[INTEREST],1,1):PaymentSchedule[[#This Row],[INTEREST]]),"")</f>
        <v>#VALUE!</v>
      </c>
    </row>
    <row r="175" spans="2:11">
      <c r="B175" s="10">
        <f ca="1">IF(LoanIsGood,IF(ROW()-ROW(PaymentSchedule[[#Headers],[PMT NO]])&gt;ScheduledNumberOfPayments,"",ROW()-ROW(PaymentSchedule[[#Headers],[PMT NO]])),"")</f>
        <v>159</v>
      </c>
      <c r="C175" s="12">
        <f ca="1">IF(PaymentSchedule[[#This Row],[PMT NO]]&lt;&gt;"",EOMONTH(LoanStartDate,ROW(PaymentSchedule[[#This Row],[PMT NO]])-ROW(PaymentSchedule[[#Headers],[PMT NO]])-2)+DAY(LoanStartDate),"")</f>
        <v>50772</v>
      </c>
      <c r="D17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5" s="14">
        <f ca="1">IF(PaymentSchedule[[#This Row],[PMT NO]]&lt;&gt;"",ScheduledPayment,"")</f>
        <v>1073.6432460242781</v>
      </c>
      <c r="F1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5" s="14" t="e">
        <f ca="1">IF(PaymentSchedule[[#This Row],[PMT NO]]&lt;&gt;"",PaymentSchedule[[#This Row],[TOTAL PAYMENT]]-PaymentSchedule[[#This Row],[INTEREST]],"")</f>
        <v>#VALUE!</v>
      </c>
      <c r="I175" s="14" t="e">
        <f ca="1">IF(PaymentSchedule[[#This Row],[PMT NO]]&lt;&gt;"",PaymentSchedule[[#This Row],[BEGINNING BALANCE]]*(InterestRate/PaymentsPerYear),"")</f>
        <v>#VALUE!</v>
      </c>
      <c r="J175" s="14" t="s">
        <v>32</v>
      </c>
      <c r="K175" s="14" t="e">
        <f ca="1">IF(PaymentSchedule[[#This Row],[PMT NO]]&lt;&gt;"",SUM(INDEX(PaymentSchedule[INTEREST],1,1):PaymentSchedule[[#This Row],[INTEREST]]),"")</f>
        <v>#VALUE!</v>
      </c>
    </row>
    <row r="176" spans="2:11">
      <c r="B176" s="10">
        <f ca="1">IF(LoanIsGood,IF(ROW()-ROW(PaymentSchedule[[#Headers],[PMT NO]])&gt;ScheduledNumberOfPayments,"",ROW()-ROW(PaymentSchedule[[#Headers],[PMT NO]])),"")</f>
        <v>160</v>
      </c>
      <c r="C176" s="12">
        <f ca="1">IF(PaymentSchedule[[#This Row],[PMT NO]]&lt;&gt;"",EOMONTH(LoanStartDate,ROW(PaymentSchedule[[#This Row],[PMT NO]])-ROW(PaymentSchedule[[#Headers],[PMT NO]])-2)+DAY(LoanStartDate),"")</f>
        <v>50803</v>
      </c>
      <c r="D17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6" s="14">
        <f ca="1">IF(PaymentSchedule[[#This Row],[PMT NO]]&lt;&gt;"",ScheduledPayment,"")</f>
        <v>1073.6432460242781</v>
      </c>
      <c r="F1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6" s="14" t="e">
        <f ca="1">IF(PaymentSchedule[[#This Row],[PMT NO]]&lt;&gt;"",PaymentSchedule[[#This Row],[TOTAL PAYMENT]]-PaymentSchedule[[#This Row],[INTEREST]],"")</f>
        <v>#VALUE!</v>
      </c>
      <c r="I176" s="14" t="e">
        <f ca="1">IF(PaymentSchedule[[#This Row],[PMT NO]]&lt;&gt;"",PaymentSchedule[[#This Row],[BEGINNING BALANCE]]*(InterestRate/PaymentsPerYear),"")</f>
        <v>#VALUE!</v>
      </c>
      <c r="J176" s="14" t="s">
        <v>32</v>
      </c>
      <c r="K176" s="14" t="e">
        <f ca="1">IF(PaymentSchedule[[#This Row],[PMT NO]]&lt;&gt;"",SUM(INDEX(PaymentSchedule[INTEREST],1,1):PaymentSchedule[[#This Row],[INTEREST]]),"")</f>
        <v>#VALUE!</v>
      </c>
    </row>
    <row r="177" spans="2:11">
      <c r="B177" s="10">
        <f ca="1">IF(LoanIsGood,IF(ROW()-ROW(PaymentSchedule[[#Headers],[PMT NO]])&gt;ScheduledNumberOfPayments,"",ROW()-ROW(PaymentSchedule[[#Headers],[PMT NO]])),"")</f>
        <v>161</v>
      </c>
      <c r="C177" s="12">
        <f ca="1">IF(PaymentSchedule[[#This Row],[PMT NO]]&lt;&gt;"",EOMONTH(LoanStartDate,ROW(PaymentSchedule[[#This Row],[PMT NO]])-ROW(PaymentSchedule[[#Headers],[PMT NO]])-2)+DAY(LoanStartDate),"")</f>
        <v>50831</v>
      </c>
      <c r="D17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7" s="14">
        <f ca="1">IF(PaymentSchedule[[#This Row],[PMT NO]]&lt;&gt;"",ScheduledPayment,"")</f>
        <v>1073.6432460242781</v>
      </c>
      <c r="F1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7" s="14" t="e">
        <f ca="1">IF(PaymentSchedule[[#This Row],[PMT NO]]&lt;&gt;"",PaymentSchedule[[#This Row],[TOTAL PAYMENT]]-PaymentSchedule[[#This Row],[INTEREST]],"")</f>
        <v>#VALUE!</v>
      </c>
      <c r="I177" s="14" t="e">
        <f ca="1">IF(PaymentSchedule[[#This Row],[PMT NO]]&lt;&gt;"",PaymentSchedule[[#This Row],[BEGINNING BALANCE]]*(InterestRate/PaymentsPerYear),"")</f>
        <v>#VALUE!</v>
      </c>
      <c r="J177" s="14" t="s">
        <v>32</v>
      </c>
      <c r="K177" s="14" t="e">
        <f ca="1">IF(PaymentSchedule[[#This Row],[PMT NO]]&lt;&gt;"",SUM(INDEX(PaymentSchedule[INTEREST],1,1):PaymentSchedule[[#This Row],[INTEREST]]),"")</f>
        <v>#VALUE!</v>
      </c>
    </row>
    <row r="178" spans="2:11">
      <c r="B178" s="10">
        <f ca="1">IF(LoanIsGood,IF(ROW()-ROW(PaymentSchedule[[#Headers],[PMT NO]])&gt;ScheduledNumberOfPayments,"",ROW()-ROW(PaymentSchedule[[#Headers],[PMT NO]])),"")</f>
        <v>162</v>
      </c>
      <c r="C178" s="12">
        <f ca="1">IF(PaymentSchedule[[#This Row],[PMT NO]]&lt;&gt;"",EOMONTH(LoanStartDate,ROW(PaymentSchedule[[#This Row],[PMT NO]])-ROW(PaymentSchedule[[#Headers],[PMT NO]])-2)+DAY(LoanStartDate),"")</f>
        <v>50862</v>
      </c>
      <c r="D17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8" s="14">
        <f ca="1">IF(PaymentSchedule[[#This Row],[PMT NO]]&lt;&gt;"",ScheduledPayment,"")</f>
        <v>1073.6432460242781</v>
      </c>
      <c r="F1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8" s="14" t="e">
        <f ca="1">IF(PaymentSchedule[[#This Row],[PMT NO]]&lt;&gt;"",PaymentSchedule[[#This Row],[TOTAL PAYMENT]]-PaymentSchedule[[#This Row],[INTEREST]],"")</f>
        <v>#VALUE!</v>
      </c>
      <c r="I178" s="14" t="e">
        <f ca="1">IF(PaymentSchedule[[#This Row],[PMT NO]]&lt;&gt;"",PaymentSchedule[[#This Row],[BEGINNING BALANCE]]*(InterestRate/PaymentsPerYear),"")</f>
        <v>#VALUE!</v>
      </c>
      <c r="J178" s="14" t="s">
        <v>32</v>
      </c>
      <c r="K178" s="14" t="e">
        <f ca="1">IF(PaymentSchedule[[#This Row],[PMT NO]]&lt;&gt;"",SUM(INDEX(PaymentSchedule[INTEREST],1,1):PaymentSchedule[[#This Row],[INTEREST]]),"")</f>
        <v>#VALUE!</v>
      </c>
    </row>
    <row r="179" spans="2:11">
      <c r="B179" s="10">
        <f ca="1">IF(LoanIsGood,IF(ROW()-ROW(PaymentSchedule[[#Headers],[PMT NO]])&gt;ScheduledNumberOfPayments,"",ROW()-ROW(PaymentSchedule[[#Headers],[PMT NO]])),"")</f>
        <v>163</v>
      </c>
      <c r="C179" s="12">
        <f ca="1">IF(PaymentSchedule[[#This Row],[PMT NO]]&lt;&gt;"",EOMONTH(LoanStartDate,ROW(PaymentSchedule[[#This Row],[PMT NO]])-ROW(PaymentSchedule[[#Headers],[PMT NO]])-2)+DAY(LoanStartDate),"")</f>
        <v>50892</v>
      </c>
      <c r="D17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79" s="14">
        <f ca="1">IF(PaymentSchedule[[#This Row],[PMT NO]]&lt;&gt;"",ScheduledPayment,"")</f>
        <v>1073.6432460242781</v>
      </c>
      <c r="F1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79" s="14" t="e">
        <f ca="1">IF(PaymentSchedule[[#This Row],[PMT NO]]&lt;&gt;"",PaymentSchedule[[#This Row],[TOTAL PAYMENT]]-PaymentSchedule[[#This Row],[INTEREST]],"")</f>
        <v>#VALUE!</v>
      </c>
      <c r="I179" s="14" t="e">
        <f ca="1">IF(PaymentSchedule[[#This Row],[PMT NO]]&lt;&gt;"",PaymentSchedule[[#This Row],[BEGINNING BALANCE]]*(InterestRate/PaymentsPerYear),"")</f>
        <v>#VALUE!</v>
      </c>
      <c r="J179" s="14" t="s">
        <v>32</v>
      </c>
      <c r="K179" s="14" t="e">
        <f ca="1">IF(PaymentSchedule[[#This Row],[PMT NO]]&lt;&gt;"",SUM(INDEX(PaymentSchedule[INTEREST],1,1):PaymentSchedule[[#This Row],[INTEREST]]),"")</f>
        <v>#VALUE!</v>
      </c>
    </row>
    <row r="180" spans="2:11">
      <c r="B180" s="10">
        <f ca="1">IF(LoanIsGood,IF(ROW()-ROW(PaymentSchedule[[#Headers],[PMT NO]])&gt;ScheduledNumberOfPayments,"",ROW()-ROW(PaymentSchedule[[#Headers],[PMT NO]])),"")</f>
        <v>164</v>
      </c>
      <c r="C180" s="12">
        <f ca="1">IF(PaymentSchedule[[#This Row],[PMT NO]]&lt;&gt;"",EOMONTH(LoanStartDate,ROW(PaymentSchedule[[#This Row],[PMT NO]])-ROW(PaymentSchedule[[#Headers],[PMT NO]])-2)+DAY(LoanStartDate),"")</f>
        <v>50923</v>
      </c>
      <c r="D18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0" s="14">
        <f ca="1">IF(PaymentSchedule[[#This Row],[PMT NO]]&lt;&gt;"",ScheduledPayment,"")</f>
        <v>1073.6432460242781</v>
      </c>
      <c r="F1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0" s="14" t="e">
        <f ca="1">IF(PaymentSchedule[[#This Row],[PMT NO]]&lt;&gt;"",PaymentSchedule[[#This Row],[TOTAL PAYMENT]]-PaymentSchedule[[#This Row],[INTEREST]],"")</f>
        <v>#VALUE!</v>
      </c>
      <c r="I180" s="14" t="e">
        <f ca="1">IF(PaymentSchedule[[#This Row],[PMT NO]]&lt;&gt;"",PaymentSchedule[[#This Row],[BEGINNING BALANCE]]*(InterestRate/PaymentsPerYear),"")</f>
        <v>#VALUE!</v>
      </c>
      <c r="J180" s="14" t="s">
        <v>32</v>
      </c>
      <c r="K180" s="14" t="e">
        <f ca="1">IF(PaymentSchedule[[#This Row],[PMT NO]]&lt;&gt;"",SUM(INDEX(PaymentSchedule[INTEREST],1,1):PaymentSchedule[[#This Row],[INTEREST]]),"")</f>
        <v>#VALUE!</v>
      </c>
    </row>
    <row r="181" spans="2:11">
      <c r="B181" s="10">
        <f ca="1">IF(LoanIsGood,IF(ROW()-ROW(PaymentSchedule[[#Headers],[PMT NO]])&gt;ScheduledNumberOfPayments,"",ROW()-ROW(PaymentSchedule[[#Headers],[PMT NO]])),"")</f>
        <v>165</v>
      </c>
      <c r="C181" s="12">
        <f ca="1">IF(PaymentSchedule[[#This Row],[PMT NO]]&lt;&gt;"",EOMONTH(LoanStartDate,ROW(PaymentSchedule[[#This Row],[PMT NO]])-ROW(PaymentSchedule[[#Headers],[PMT NO]])-2)+DAY(LoanStartDate),"")</f>
        <v>50953</v>
      </c>
      <c r="D18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1" s="14">
        <f ca="1">IF(PaymentSchedule[[#This Row],[PMT NO]]&lt;&gt;"",ScheduledPayment,"")</f>
        <v>1073.6432460242781</v>
      </c>
      <c r="F1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1" s="14" t="e">
        <f ca="1">IF(PaymentSchedule[[#This Row],[PMT NO]]&lt;&gt;"",PaymentSchedule[[#This Row],[TOTAL PAYMENT]]-PaymentSchedule[[#This Row],[INTEREST]],"")</f>
        <v>#VALUE!</v>
      </c>
      <c r="I181" s="14" t="e">
        <f ca="1">IF(PaymentSchedule[[#This Row],[PMT NO]]&lt;&gt;"",PaymentSchedule[[#This Row],[BEGINNING BALANCE]]*(InterestRate/PaymentsPerYear),"")</f>
        <v>#VALUE!</v>
      </c>
      <c r="J181" s="14" t="s">
        <v>32</v>
      </c>
      <c r="K181" s="14" t="e">
        <f ca="1">IF(PaymentSchedule[[#This Row],[PMT NO]]&lt;&gt;"",SUM(INDEX(PaymentSchedule[INTEREST],1,1):PaymentSchedule[[#This Row],[INTEREST]]),"")</f>
        <v>#VALUE!</v>
      </c>
    </row>
    <row r="182" spans="2:11">
      <c r="B182" s="10">
        <f ca="1">IF(LoanIsGood,IF(ROW()-ROW(PaymentSchedule[[#Headers],[PMT NO]])&gt;ScheduledNumberOfPayments,"",ROW()-ROW(PaymentSchedule[[#Headers],[PMT NO]])),"")</f>
        <v>166</v>
      </c>
      <c r="C182" s="12">
        <f ca="1">IF(PaymentSchedule[[#This Row],[PMT NO]]&lt;&gt;"",EOMONTH(LoanStartDate,ROW(PaymentSchedule[[#This Row],[PMT NO]])-ROW(PaymentSchedule[[#Headers],[PMT NO]])-2)+DAY(LoanStartDate),"")</f>
        <v>50984</v>
      </c>
      <c r="D18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2" s="14">
        <f ca="1">IF(PaymentSchedule[[#This Row],[PMT NO]]&lt;&gt;"",ScheduledPayment,"")</f>
        <v>1073.6432460242781</v>
      </c>
      <c r="F1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2" s="14" t="e">
        <f ca="1">IF(PaymentSchedule[[#This Row],[PMT NO]]&lt;&gt;"",PaymentSchedule[[#This Row],[TOTAL PAYMENT]]-PaymentSchedule[[#This Row],[INTEREST]],"")</f>
        <v>#VALUE!</v>
      </c>
      <c r="I182" s="14" t="e">
        <f ca="1">IF(PaymentSchedule[[#This Row],[PMT NO]]&lt;&gt;"",PaymentSchedule[[#This Row],[BEGINNING BALANCE]]*(InterestRate/PaymentsPerYear),"")</f>
        <v>#VALUE!</v>
      </c>
      <c r="J182" s="14" t="s">
        <v>32</v>
      </c>
      <c r="K182" s="14" t="e">
        <f ca="1">IF(PaymentSchedule[[#This Row],[PMT NO]]&lt;&gt;"",SUM(INDEX(PaymentSchedule[INTEREST],1,1):PaymentSchedule[[#This Row],[INTEREST]]),"")</f>
        <v>#VALUE!</v>
      </c>
    </row>
    <row r="183" spans="2:11">
      <c r="B183" s="10">
        <f ca="1">IF(LoanIsGood,IF(ROW()-ROW(PaymentSchedule[[#Headers],[PMT NO]])&gt;ScheduledNumberOfPayments,"",ROW()-ROW(PaymentSchedule[[#Headers],[PMT NO]])),"")</f>
        <v>167</v>
      </c>
      <c r="C183" s="12">
        <f ca="1">IF(PaymentSchedule[[#This Row],[PMT NO]]&lt;&gt;"",EOMONTH(LoanStartDate,ROW(PaymentSchedule[[#This Row],[PMT NO]])-ROW(PaymentSchedule[[#Headers],[PMT NO]])-2)+DAY(LoanStartDate),"")</f>
        <v>51015</v>
      </c>
      <c r="D18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3" s="14">
        <f ca="1">IF(PaymentSchedule[[#This Row],[PMT NO]]&lt;&gt;"",ScheduledPayment,"")</f>
        <v>1073.6432460242781</v>
      </c>
      <c r="F1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3" s="14" t="e">
        <f ca="1">IF(PaymentSchedule[[#This Row],[PMT NO]]&lt;&gt;"",PaymentSchedule[[#This Row],[TOTAL PAYMENT]]-PaymentSchedule[[#This Row],[INTEREST]],"")</f>
        <v>#VALUE!</v>
      </c>
      <c r="I183" s="14" t="e">
        <f ca="1">IF(PaymentSchedule[[#This Row],[PMT NO]]&lt;&gt;"",PaymentSchedule[[#This Row],[BEGINNING BALANCE]]*(InterestRate/PaymentsPerYear),"")</f>
        <v>#VALUE!</v>
      </c>
      <c r="J183" s="14" t="s">
        <v>32</v>
      </c>
      <c r="K183" s="14" t="e">
        <f ca="1">IF(PaymentSchedule[[#This Row],[PMT NO]]&lt;&gt;"",SUM(INDEX(PaymentSchedule[INTEREST],1,1):PaymentSchedule[[#This Row],[INTEREST]]),"")</f>
        <v>#VALUE!</v>
      </c>
    </row>
    <row r="184" spans="2:11">
      <c r="B184" s="10">
        <f ca="1">IF(LoanIsGood,IF(ROW()-ROW(PaymentSchedule[[#Headers],[PMT NO]])&gt;ScheduledNumberOfPayments,"",ROW()-ROW(PaymentSchedule[[#Headers],[PMT NO]])),"")</f>
        <v>168</v>
      </c>
      <c r="C184" s="12">
        <f ca="1">IF(PaymentSchedule[[#This Row],[PMT NO]]&lt;&gt;"",EOMONTH(LoanStartDate,ROW(PaymentSchedule[[#This Row],[PMT NO]])-ROW(PaymentSchedule[[#Headers],[PMT NO]])-2)+DAY(LoanStartDate),"")</f>
        <v>51045</v>
      </c>
      <c r="D18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4" s="14">
        <f ca="1">IF(PaymentSchedule[[#This Row],[PMT NO]]&lt;&gt;"",ScheduledPayment,"")</f>
        <v>1073.6432460242781</v>
      </c>
      <c r="F1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4" s="14" t="e">
        <f ca="1">IF(PaymentSchedule[[#This Row],[PMT NO]]&lt;&gt;"",PaymentSchedule[[#This Row],[TOTAL PAYMENT]]-PaymentSchedule[[#This Row],[INTEREST]],"")</f>
        <v>#VALUE!</v>
      </c>
      <c r="I184" s="14" t="e">
        <f ca="1">IF(PaymentSchedule[[#This Row],[PMT NO]]&lt;&gt;"",PaymentSchedule[[#This Row],[BEGINNING BALANCE]]*(InterestRate/PaymentsPerYear),"")</f>
        <v>#VALUE!</v>
      </c>
      <c r="J184" s="14" t="s">
        <v>32</v>
      </c>
      <c r="K184" s="14" t="e">
        <f ca="1">IF(PaymentSchedule[[#This Row],[PMT NO]]&lt;&gt;"",SUM(INDEX(PaymentSchedule[INTEREST],1,1):PaymentSchedule[[#This Row],[INTEREST]]),"")</f>
        <v>#VALUE!</v>
      </c>
    </row>
    <row r="185" spans="2:11">
      <c r="B185" s="10">
        <f ca="1">IF(LoanIsGood,IF(ROW()-ROW(PaymentSchedule[[#Headers],[PMT NO]])&gt;ScheduledNumberOfPayments,"",ROW()-ROW(PaymentSchedule[[#Headers],[PMT NO]])),"")</f>
        <v>169</v>
      </c>
      <c r="C185" s="12">
        <f ca="1">IF(PaymentSchedule[[#This Row],[PMT NO]]&lt;&gt;"",EOMONTH(LoanStartDate,ROW(PaymentSchedule[[#This Row],[PMT NO]])-ROW(PaymentSchedule[[#Headers],[PMT NO]])-2)+DAY(LoanStartDate),"")</f>
        <v>51076</v>
      </c>
      <c r="D18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5" s="14">
        <f ca="1">IF(PaymentSchedule[[#This Row],[PMT NO]]&lt;&gt;"",ScheduledPayment,"")</f>
        <v>1073.6432460242781</v>
      </c>
      <c r="F1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5" s="14" t="e">
        <f ca="1">IF(PaymentSchedule[[#This Row],[PMT NO]]&lt;&gt;"",PaymentSchedule[[#This Row],[TOTAL PAYMENT]]-PaymentSchedule[[#This Row],[INTEREST]],"")</f>
        <v>#VALUE!</v>
      </c>
      <c r="I185" s="14" t="e">
        <f ca="1">IF(PaymentSchedule[[#This Row],[PMT NO]]&lt;&gt;"",PaymentSchedule[[#This Row],[BEGINNING BALANCE]]*(InterestRate/PaymentsPerYear),"")</f>
        <v>#VALUE!</v>
      </c>
      <c r="J185" s="14" t="s">
        <v>32</v>
      </c>
      <c r="K185" s="14" t="e">
        <f ca="1">IF(PaymentSchedule[[#This Row],[PMT NO]]&lt;&gt;"",SUM(INDEX(PaymentSchedule[INTEREST],1,1):PaymentSchedule[[#This Row],[INTEREST]]),"")</f>
        <v>#VALUE!</v>
      </c>
    </row>
    <row r="186" spans="2:11">
      <c r="B186" s="10">
        <f ca="1">IF(LoanIsGood,IF(ROW()-ROW(PaymentSchedule[[#Headers],[PMT NO]])&gt;ScheduledNumberOfPayments,"",ROW()-ROW(PaymentSchedule[[#Headers],[PMT NO]])),"")</f>
        <v>170</v>
      </c>
      <c r="C186" s="12">
        <f ca="1">IF(PaymentSchedule[[#This Row],[PMT NO]]&lt;&gt;"",EOMONTH(LoanStartDate,ROW(PaymentSchedule[[#This Row],[PMT NO]])-ROW(PaymentSchedule[[#Headers],[PMT NO]])-2)+DAY(LoanStartDate),"")</f>
        <v>51106</v>
      </c>
      <c r="D18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6" s="14">
        <f ca="1">IF(PaymentSchedule[[#This Row],[PMT NO]]&lt;&gt;"",ScheduledPayment,"")</f>
        <v>1073.6432460242781</v>
      </c>
      <c r="F1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6" s="14" t="e">
        <f ca="1">IF(PaymentSchedule[[#This Row],[PMT NO]]&lt;&gt;"",PaymentSchedule[[#This Row],[TOTAL PAYMENT]]-PaymentSchedule[[#This Row],[INTEREST]],"")</f>
        <v>#VALUE!</v>
      </c>
      <c r="I186" s="14" t="e">
        <f ca="1">IF(PaymentSchedule[[#This Row],[PMT NO]]&lt;&gt;"",PaymentSchedule[[#This Row],[BEGINNING BALANCE]]*(InterestRate/PaymentsPerYear),"")</f>
        <v>#VALUE!</v>
      </c>
      <c r="J186" s="14" t="s">
        <v>32</v>
      </c>
      <c r="K186" s="14" t="e">
        <f ca="1">IF(PaymentSchedule[[#This Row],[PMT NO]]&lt;&gt;"",SUM(INDEX(PaymentSchedule[INTEREST],1,1):PaymentSchedule[[#This Row],[INTEREST]]),"")</f>
        <v>#VALUE!</v>
      </c>
    </row>
    <row r="187" spans="2:11">
      <c r="B187" s="10">
        <f ca="1">IF(LoanIsGood,IF(ROW()-ROW(PaymentSchedule[[#Headers],[PMT NO]])&gt;ScheduledNumberOfPayments,"",ROW()-ROW(PaymentSchedule[[#Headers],[PMT NO]])),"")</f>
        <v>171</v>
      </c>
      <c r="C187" s="12">
        <f ca="1">IF(PaymentSchedule[[#This Row],[PMT NO]]&lt;&gt;"",EOMONTH(LoanStartDate,ROW(PaymentSchedule[[#This Row],[PMT NO]])-ROW(PaymentSchedule[[#Headers],[PMT NO]])-2)+DAY(LoanStartDate),"")</f>
        <v>51137</v>
      </c>
      <c r="D18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7" s="14">
        <f ca="1">IF(PaymentSchedule[[#This Row],[PMT NO]]&lt;&gt;"",ScheduledPayment,"")</f>
        <v>1073.6432460242781</v>
      </c>
      <c r="F1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7" s="14" t="e">
        <f ca="1">IF(PaymentSchedule[[#This Row],[PMT NO]]&lt;&gt;"",PaymentSchedule[[#This Row],[TOTAL PAYMENT]]-PaymentSchedule[[#This Row],[INTEREST]],"")</f>
        <v>#VALUE!</v>
      </c>
      <c r="I187" s="14" t="e">
        <f ca="1">IF(PaymentSchedule[[#This Row],[PMT NO]]&lt;&gt;"",PaymentSchedule[[#This Row],[BEGINNING BALANCE]]*(InterestRate/PaymentsPerYear),"")</f>
        <v>#VALUE!</v>
      </c>
      <c r="J187" s="14" t="s">
        <v>32</v>
      </c>
      <c r="K187" s="14" t="e">
        <f ca="1">IF(PaymentSchedule[[#This Row],[PMT NO]]&lt;&gt;"",SUM(INDEX(PaymentSchedule[INTEREST],1,1):PaymentSchedule[[#This Row],[INTEREST]]),"")</f>
        <v>#VALUE!</v>
      </c>
    </row>
    <row r="188" spans="2:11">
      <c r="B188" s="10">
        <f ca="1">IF(LoanIsGood,IF(ROW()-ROW(PaymentSchedule[[#Headers],[PMT NO]])&gt;ScheduledNumberOfPayments,"",ROW()-ROW(PaymentSchedule[[#Headers],[PMT NO]])),"")</f>
        <v>172</v>
      </c>
      <c r="C188" s="12">
        <f ca="1">IF(PaymentSchedule[[#This Row],[PMT NO]]&lt;&gt;"",EOMONTH(LoanStartDate,ROW(PaymentSchedule[[#This Row],[PMT NO]])-ROW(PaymentSchedule[[#Headers],[PMT NO]])-2)+DAY(LoanStartDate),"")</f>
        <v>51168</v>
      </c>
      <c r="D18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8" s="14">
        <f ca="1">IF(PaymentSchedule[[#This Row],[PMT NO]]&lt;&gt;"",ScheduledPayment,"")</f>
        <v>1073.6432460242781</v>
      </c>
      <c r="F1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8" s="14" t="e">
        <f ca="1">IF(PaymentSchedule[[#This Row],[PMT NO]]&lt;&gt;"",PaymentSchedule[[#This Row],[TOTAL PAYMENT]]-PaymentSchedule[[#This Row],[INTEREST]],"")</f>
        <v>#VALUE!</v>
      </c>
      <c r="I188" s="14" t="e">
        <f ca="1">IF(PaymentSchedule[[#This Row],[PMT NO]]&lt;&gt;"",PaymentSchedule[[#This Row],[BEGINNING BALANCE]]*(InterestRate/PaymentsPerYear),"")</f>
        <v>#VALUE!</v>
      </c>
      <c r="J188" s="14" t="s">
        <v>32</v>
      </c>
      <c r="K188" s="14" t="e">
        <f ca="1">IF(PaymentSchedule[[#This Row],[PMT NO]]&lt;&gt;"",SUM(INDEX(PaymentSchedule[INTEREST],1,1):PaymentSchedule[[#This Row],[INTEREST]]),"")</f>
        <v>#VALUE!</v>
      </c>
    </row>
    <row r="189" spans="2:11">
      <c r="B189" s="10">
        <f ca="1">IF(LoanIsGood,IF(ROW()-ROW(PaymentSchedule[[#Headers],[PMT NO]])&gt;ScheduledNumberOfPayments,"",ROW()-ROW(PaymentSchedule[[#Headers],[PMT NO]])),"")</f>
        <v>173</v>
      </c>
      <c r="C189" s="12">
        <f ca="1">IF(PaymentSchedule[[#This Row],[PMT NO]]&lt;&gt;"",EOMONTH(LoanStartDate,ROW(PaymentSchedule[[#This Row],[PMT NO]])-ROW(PaymentSchedule[[#Headers],[PMT NO]])-2)+DAY(LoanStartDate),"")</f>
        <v>51197</v>
      </c>
      <c r="D18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89" s="14">
        <f ca="1">IF(PaymentSchedule[[#This Row],[PMT NO]]&lt;&gt;"",ScheduledPayment,"")</f>
        <v>1073.6432460242781</v>
      </c>
      <c r="F1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89" s="14" t="e">
        <f ca="1">IF(PaymentSchedule[[#This Row],[PMT NO]]&lt;&gt;"",PaymentSchedule[[#This Row],[TOTAL PAYMENT]]-PaymentSchedule[[#This Row],[INTEREST]],"")</f>
        <v>#VALUE!</v>
      </c>
      <c r="I189" s="14" t="e">
        <f ca="1">IF(PaymentSchedule[[#This Row],[PMT NO]]&lt;&gt;"",PaymentSchedule[[#This Row],[BEGINNING BALANCE]]*(InterestRate/PaymentsPerYear),"")</f>
        <v>#VALUE!</v>
      </c>
      <c r="J189" s="14" t="s">
        <v>32</v>
      </c>
      <c r="K189" s="14" t="e">
        <f ca="1">IF(PaymentSchedule[[#This Row],[PMT NO]]&lt;&gt;"",SUM(INDEX(PaymentSchedule[INTEREST],1,1):PaymentSchedule[[#This Row],[INTEREST]]),"")</f>
        <v>#VALUE!</v>
      </c>
    </row>
    <row r="190" spans="2:11">
      <c r="B190" s="10">
        <f ca="1">IF(LoanIsGood,IF(ROW()-ROW(PaymentSchedule[[#Headers],[PMT NO]])&gt;ScheduledNumberOfPayments,"",ROW()-ROW(PaymentSchedule[[#Headers],[PMT NO]])),"")</f>
        <v>174</v>
      </c>
      <c r="C190" s="12">
        <f ca="1">IF(PaymentSchedule[[#This Row],[PMT NO]]&lt;&gt;"",EOMONTH(LoanStartDate,ROW(PaymentSchedule[[#This Row],[PMT NO]])-ROW(PaymentSchedule[[#Headers],[PMT NO]])-2)+DAY(LoanStartDate),"")</f>
        <v>51228</v>
      </c>
      <c r="D19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0" s="14">
        <f ca="1">IF(PaymentSchedule[[#This Row],[PMT NO]]&lt;&gt;"",ScheduledPayment,"")</f>
        <v>1073.6432460242781</v>
      </c>
      <c r="F1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0" s="14" t="e">
        <f ca="1">IF(PaymentSchedule[[#This Row],[PMT NO]]&lt;&gt;"",PaymentSchedule[[#This Row],[TOTAL PAYMENT]]-PaymentSchedule[[#This Row],[INTEREST]],"")</f>
        <v>#VALUE!</v>
      </c>
      <c r="I190" s="14" t="e">
        <f ca="1">IF(PaymentSchedule[[#This Row],[PMT NO]]&lt;&gt;"",PaymentSchedule[[#This Row],[BEGINNING BALANCE]]*(InterestRate/PaymentsPerYear),"")</f>
        <v>#VALUE!</v>
      </c>
      <c r="J190" s="14" t="s">
        <v>32</v>
      </c>
      <c r="K190" s="14" t="e">
        <f ca="1">IF(PaymentSchedule[[#This Row],[PMT NO]]&lt;&gt;"",SUM(INDEX(PaymentSchedule[INTEREST],1,1):PaymentSchedule[[#This Row],[INTEREST]]),"")</f>
        <v>#VALUE!</v>
      </c>
    </row>
    <row r="191" spans="2:11">
      <c r="B191" s="10">
        <f ca="1">IF(LoanIsGood,IF(ROW()-ROW(PaymentSchedule[[#Headers],[PMT NO]])&gt;ScheduledNumberOfPayments,"",ROW()-ROW(PaymentSchedule[[#Headers],[PMT NO]])),"")</f>
        <v>175</v>
      </c>
      <c r="C191" s="12">
        <f ca="1">IF(PaymentSchedule[[#This Row],[PMT NO]]&lt;&gt;"",EOMONTH(LoanStartDate,ROW(PaymentSchedule[[#This Row],[PMT NO]])-ROW(PaymentSchedule[[#Headers],[PMT NO]])-2)+DAY(LoanStartDate),"")</f>
        <v>51258</v>
      </c>
      <c r="D19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1" s="14">
        <f ca="1">IF(PaymentSchedule[[#This Row],[PMT NO]]&lt;&gt;"",ScheduledPayment,"")</f>
        <v>1073.6432460242781</v>
      </c>
      <c r="F1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1" s="14" t="e">
        <f ca="1">IF(PaymentSchedule[[#This Row],[PMT NO]]&lt;&gt;"",PaymentSchedule[[#This Row],[TOTAL PAYMENT]]-PaymentSchedule[[#This Row],[INTEREST]],"")</f>
        <v>#VALUE!</v>
      </c>
      <c r="I191" s="14" t="e">
        <f ca="1">IF(PaymentSchedule[[#This Row],[PMT NO]]&lt;&gt;"",PaymentSchedule[[#This Row],[BEGINNING BALANCE]]*(InterestRate/PaymentsPerYear),"")</f>
        <v>#VALUE!</v>
      </c>
      <c r="J191" s="14" t="s">
        <v>32</v>
      </c>
      <c r="K191" s="14" t="e">
        <f ca="1">IF(PaymentSchedule[[#This Row],[PMT NO]]&lt;&gt;"",SUM(INDEX(PaymentSchedule[INTEREST],1,1):PaymentSchedule[[#This Row],[INTEREST]]),"")</f>
        <v>#VALUE!</v>
      </c>
    </row>
    <row r="192" spans="2:11">
      <c r="B192" s="10">
        <f ca="1">IF(LoanIsGood,IF(ROW()-ROW(PaymentSchedule[[#Headers],[PMT NO]])&gt;ScheduledNumberOfPayments,"",ROW()-ROW(PaymentSchedule[[#Headers],[PMT NO]])),"")</f>
        <v>176</v>
      </c>
      <c r="C192" s="12">
        <f ca="1">IF(PaymentSchedule[[#This Row],[PMT NO]]&lt;&gt;"",EOMONTH(LoanStartDate,ROW(PaymentSchedule[[#This Row],[PMT NO]])-ROW(PaymentSchedule[[#Headers],[PMT NO]])-2)+DAY(LoanStartDate),"")</f>
        <v>51289</v>
      </c>
      <c r="D19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2" s="14">
        <f ca="1">IF(PaymentSchedule[[#This Row],[PMT NO]]&lt;&gt;"",ScheduledPayment,"")</f>
        <v>1073.6432460242781</v>
      </c>
      <c r="F1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2" s="14" t="e">
        <f ca="1">IF(PaymentSchedule[[#This Row],[PMT NO]]&lt;&gt;"",PaymentSchedule[[#This Row],[TOTAL PAYMENT]]-PaymentSchedule[[#This Row],[INTEREST]],"")</f>
        <v>#VALUE!</v>
      </c>
      <c r="I192" s="14" t="e">
        <f ca="1">IF(PaymentSchedule[[#This Row],[PMT NO]]&lt;&gt;"",PaymentSchedule[[#This Row],[BEGINNING BALANCE]]*(InterestRate/PaymentsPerYear),"")</f>
        <v>#VALUE!</v>
      </c>
      <c r="J192" s="14" t="s">
        <v>32</v>
      </c>
      <c r="K192" s="14" t="e">
        <f ca="1">IF(PaymentSchedule[[#This Row],[PMT NO]]&lt;&gt;"",SUM(INDEX(PaymentSchedule[INTEREST],1,1):PaymentSchedule[[#This Row],[INTEREST]]),"")</f>
        <v>#VALUE!</v>
      </c>
    </row>
    <row r="193" spans="2:11">
      <c r="B193" s="10">
        <f ca="1">IF(LoanIsGood,IF(ROW()-ROW(PaymentSchedule[[#Headers],[PMT NO]])&gt;ScheduledNumberOfPayments,"",ROW()-ROW(PaymentSchedule[[#Headers],[PMT NO]])),"")</f>
        <v>177</v>
      </c>
      <c r="C193" s="12">
        <f ca="1">IF(PaymentSchedule[[#This Row],[PMT NO]]&lt;&gt;"",EOMONTH(LoanStartDate,ROW(PaymentSchedule[[#This Row],[PMT NO]])-ROW(PaymentSchedule[[#Headers],[PMT NO]])-2)+DAY(LoanStartDate),"")</f>
        <v>51319</v>
      </c>
      <c r="D19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3" s="14">
        <f ca="1">IF(PaymentSchedule[[#This Row],[PMT NO]]&lt;&gt;"",ScheduledPayment,"")</f>
        <v>1073.6432460242781</v>
      </c>
      <c r="F1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3" s="14" t="e">
        <f ca="1">IF(PaymentSchedule[[#This Row],[PMT NO]]&lt;&gt;"",PaymentSchedule[[#This Row],[TOTAL PAYMENT]]-PaymentSchedule[[#This Row],[INTEREST]],"")</f>
        <v>#VALUE!</v>
      </c>
      <c r="I193" s="14" t="e">
        <f ca="1">IF(PaymentSchedule[[#This Row],[PMT NO]]&lt;&gt;"",PaymentSchedule[[#This Row],[BEGINNING BALANCE]]*(InterestRate/PaymentsPerYear),"")</f>
        <v>#VALUE!</v>
      </c>
      <c r="J193" s="14" t="s">
        <v>32</v>
      </c>
      <c r="K193" s="14" t="e">
        <f ca="1">IF(PaymentSchedule[[#This Row],[PMT NO]]&lt;&gt;"",SUM(INDEX(PaymentSchedule[INTEREST],1,1):PaymentSchedule[[#This Row],[INTEREST]]),"")</f>
        <v>#VALUE!</v>
      </c>
    </row>
    <row r="194" spans="2:11">
      <c r="B194" s="10">
        <f ca="1">IF(LoanIsGood,IF(ROW()-ROW(PaymentSchedule[[#Headers],[PMT NO]])&gt;ScheduledNumberOfPayments,"",ROW()-ROW(PaymentSchedule[[#Headers],[PMT NO]])),"")</f>
        <v>178</v>
      </c>
      <c r="C194" s="12">
        <f ca="1">IF(PaymentSchedule[[#This Row],[PMT NO]]&lt;&gt;"",EOMONTH(LoanStartDate,ROW(PaymentSchedule[[#This Row],[PMT NO]])-ROW(PaymentSchedule[[#Headers],[PMT NO]])-2)+DAY(LoanStartDate),"")</f>
        <v>51350</v>
      </c>
      <c r="D19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4" s="14">
        <f ca="1">IF(PaymentSchedule[[#This Row],[PMT NO]]&lt;&gt;"",ScheduledPayment,"")</f>
        <v>1073.6432460242781</v>
      </c>
      <c r="F1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4" s="14" t="e">
        <f ca="1">IF(PaymentSchedule[[#This Row],[PMT NO]]&lt;&gt;"",PaymentSchedule[[#This Row],[TOTAL PAYMENT]]-PaymentSchedule[[#This Row],[INTEREST]],"")</f>
        <v>#VALUE!</v>
      </c>
      <c r="I194" s="14" t="e">
        <f ca="1">IF(PaymentSchedule[[#This Row],[PMT NO]]&lt;&gt;"",PaymentSchedule[[#This Row],[BEGINNING BALANCE]]*(InterestRate/PaymentsPerYear),"")</f>
        <v>#VALUE!</v>
      </c>
      <c r="J194" s="14" t="s">
        <v>32</v>
      </c>
      <c r="K194" s="14" t="e">
        <f ca="1">IF(PaymentSchedule[[#This Row],[PMT NO]]&lt;&gt;"",SUM(INDEX(PaymentSchedule[INTEREST],1,1):PaymentSchedule[[#This Row],[INTEREST]]),"")</f>
        <v>#VALUE!</v>
      </c>
    </row>
    <row r="195" spans="2:11">
      <c r="B195" s="10">
        <f ca="1">IF(LoanIsGood,IF(ROW()-ROW(PaymentSchedule[[#Headers],[PMT NO]])&gt;ScheduledNumberOfPayments,"",ROW()-ROW(PaymentSchedule[[#Headers],[PMT NO]])),"")</f>
        <v>179</v>
      </c>
      <c r="C195" s="12">
        <f ca="1">IF(PaymentSchedule[[#This Row],[PMT NO]]&lt;&gt;"",EOMONTH(LoanStartDate,ROW(PaymentSchedule[[#This Row],[PMT NO]])-ROW(PaymentSchedule[[#Headers],[PMT NO]])-2)+DAY(LoanStartDate),"")</f>
        <v>51381</v>
      </c>
      <c r="D19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5" s="14">
        <f ca="1">IF(PaymentSchedule[[#This Row],[PMT NO]]&lt;&gt;"",ScheduledPayment,"")</f>
        <v>1073.6432460242781</v>
      </c>
      <c r="F1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5" s="14" t="e">
        <f ca="1">IF(PaymentSchedule[[#This Row],[PMT NO]]&lt;&gt;"",PaymentSchedule[[#This Row],[TOTAL PAYMENT]]-PaymentSchedule[[#This Row],[INTEREST]],"")</f>
        <v>#VALUE!</v>
      </c>
      <c r="I195" s="14" t="e">
        <f ca="1">IF(PaymentSchedule[[#This Row],[PMT NO]]&lt;&gt;"",PaymentSchedule[[#This Row],[BEGINNING BALANCE]]*(InterestRate/PaymentsPerYear),"")</f>
        <v>#VALUE!</v>
      </c>
      <c r="J195" s="14" t="s">
        <v>32</v>
      </c>
      <c r="K195" s="14" t="e">
        <f ca="1">IF(PaymentSchedule[[#This Row],[PMT NO]]&lt;&gt;"",SUM(INDEX(PaymentSchedule[INTEREST],1,1):PaymentSchedule[[#This Row],[INTEREST]]),"")</f>
        <v>#VALUE!</v>
      </c>
    </row>
    <row r="196" spans="2:11">
      <c r="B196" s="10">
        <f ca="1">IF(LoanIsGood,IF(ROW()-ROW(PaymentSchedule[[#Headers],[PMT NO]])&gt;ScheduledNumberOfPayments,"",ROW()-ROW(PaymentSchedule[[#Headers],[PMT NO]])),"")</f>
        <v>180</v>
      </c>
      <c r="C196" s="12">
        <f ca="1">IF(PaymentSchedule[[#This Row],[PMT NO]]&lt;&gt;"",EOMONTH(LoanStartDate,ROW(PaymentSchedule[[#This Row],[PMT NO]])-ROW(PaymentSchedule[[#Headers],[PMT NO]])-2)+DAY(LoanStartDate),"")</f>
        <v>51411</v>
      </c>
      <c r="D19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6" s="14">
        <f ca="1">IF(PaymentSchedule[[#This Row],[PMT NO]]&lt;&gt;"",ScheduledPayment,"")</f>
        <v>1073.6432460242781</v>
      </c>
      <c r="F1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6" s="14" t="e">
        <f ca="1">IF(PaymentSchedule[[#This Row],[PMT NO]]&lt;&gt;"",PaymentSchedule[[#This Row],[TOTAL PAYMENT]]-PaymentSchedule[[#This Row],[INTEREST]],"")</f>
        <v>#VALUE!</v>
      </c>
      <c r="I196" s="14" t="e">
        <f ca="1">IF(PaymentSchedule[[#This Row],[PMT NO]]&lt;&gt;"",PaymentSchedule[[#This Row],[BEGINNING BALANCE]]*(InterestRate/PaymentsPerYear),"")</f>
        <v>#VALUE!</v>
      </c>
      <c r="J196" s="14" t="s">
        <v>32</v>
      </c>
      <c r="K196" s="14" t="e">
        <f ca="1">IF(PaymentSchedule[[#This Row],[PMT NO]]&lt;&gt;"",SUM(INDEX(PaymentSchedule[INTEREST],1,1):PaymentSchedule[[#This Row],[INTEREST]]),"")</f>
        <v>#VALUE!</v>
      </c>
    </row>
    <row r="197" spans="2:11">
      <c r="B197" s="10">
        <f ca="1">IF(LoanIsGood,IF(ROW()-ROW(PaymentSchedule[[#Headers],[PMT NO]])&gt;ScheduledNumberOfPayments,"",ROW()-ROW(PaymentSchedule[[#Headers],[PMT NO]])),"")</f>
        <v>181</v>
      </c>
      <c r="C197" s="12">
        <f ca="1">IF(PaymentSchedule[[#This Row],[PMT NO]]&lt;&gt;"",EOMONTH(LoanStartDate,ROW(PaymentSchedule[[#This Row],[PMT NO]])-ROW(PaymentSchedule[[#Headers],[PMT NO]])-2)+DAY(LoanStartDate),"")</f>
        <v>51442</v>
      </c>
      <c r="D19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7" s="14">
        <f ca="1">IF(PaymentSchedule[[#This Row],[PMT NO]]&lt;&gt;"",ScheduledPayment,"")</f>
        <v>1073.6432460242781</v>
      </c>
      <c r="F1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7" s="14" t="e">
        <f ca="1">IF(PaymentSchedule[[#This Row],[PMT NO]]&lt;&gt;"",PaymentSchedule[[#This Row],[TOTAL PAYMENT]]-PaymentSchedule[[#This Row],[INTEREST]],"")</f>
        <v>#VALUE!</v>
      </c>
      <c r="I197" s="14" t="e">
        <f ca="1">IF(PaymentSchedule[[#This Row],[PMT NO]]&lt;&gt;"",PaymentSchedule[[#This Row],[BEGINNING BALANCE]]*(InterestRate/PaymentsPerYear),"")</f>
        <v>#VALUE!</v>
      </c>
      <c r="J197" s="14" t="s">
        <v>32</v>
      </c>
      <c r="K197" s="14" t="e">
        <f ca="1">IF(PaymentSchedule[[#This Row],[PMT NO]]&lt;&gt;"",SUM(INDEX(PaymentSchedule[INTEREST],1,1):PaymentSchedule[[#This Row],[INTEREST]]),"")</f>
        <v>#VALUE!</v>
      </c>
    </row>
    <row r="198" spans="2:11">
      <c r="B198" s="10">
        <f ca="1">IF(LoanIsGood,IF(ROW()-ROW(PaymentSchedule[[#Headers],[PMT NO]])&gt;ScheduledNumberOfPayments,"",ROW()-ROW(PaymentSchedule[[#Headers],[PMT NO]])),"")</f>
        <v>182</v>
      </c>
      <c r="C198" s="12">
        <f ca="1">IF(PaymentSchedule[[#This Row],[PMT NO]]&lt;&gt;"",EOMONTH(LoanStartDate,ROW(PaymentSchedule[[#This Row],[PMT NO]])-ROW(PaymentSchedule[[#Headers],[PMT NO]])-2)+DAY(LoanStartDate),"")</f>
        <v>51472</v>
      </c>
      <c r="D19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8" s="14">
        <f ca="1">IF(PaymentSchedule[[#This Row],[PMT NO]]&lt;&gt;"",ScheduledPayment,"")</f>
        <v>1073.6432460242781</v>
      </c>
      <c r="F1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8" s="14" t="e">
        <f ca="1">IF(PaymentSchedule[[#This Row],[PMT NO]]&lt;&gt;"",PaymentSchedule[[#This Row],[TOTAL PAYMENT]]-PaymentSchedule[[#This Row],[INTEREST]],"")</f>
        <v>#VALUE!</v>
      </c>
      <c r="I198" s="14" t="e">
        <f ca="1">IF(PaymentSchedule[[#This Row],[PMT NO]]&lt;&gt;"",PaymentSchedule[[#This Row],[BEGINNING BALANCE]]*(InterestRate/PaymentsPerYear),"")</f>
        <v>#VALUE!</v>
      </c>
      <c r="J198" s="14" t="s">
        <v>32</v>
      </c>
      <c r="K198" s="14" t="e">
        <f ca="1">IF(PaymentSchedule[[#This Row],[PMT NO]]&lt;&gt;"",SUM(INDEX(PaymentSchedule[INTEREST],1,1):PaymentSchedule[[#This Row],[INTEREST]]),"")</f>
        <v>#VALUE!</v>
      </c>
    </row>
    <row r="199" spans="2:11">
      <c r="B199" s="10">
        <f ca="1">IF(LoanIsGood,IF(ROW()-ROW(PaymentSchedule[[#Headers],[PMT NO]])&gt;ScheduledNumberOfPayments,"",ROW()-ROW(PaymentSchedule[[#Headers],[PMT NO]])),"")</f>
        <v>183</v>
      </c>
      <c r="C199" s="12">
        <f ca="1">IF(PaymentSchedule[[#This Row],[PMT NO]]&lt;&gt;"",EOMONTH(LoanStartDate,ROW(PaymentSchedule[[#This Row],[PMT NO]])-ROW(PaymentSchedule[[#Headers],[PMT NO]])-2)+DAY(LoanStartDate),"")</f>
        <v>51503</v>
      </c>
      <c r="D19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199" s="14">
        <f ca="1">IF(PaymentSchedule[[#This Row],[PMT NO]]&lt;&gt;"",ScheduledPayment,"")</f>
        <v>1073.6432460242781</v>
      </c>
      <c r="F1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199" s="14" t="e">
        <f ca="1">IF(PaymentSchedule[[#This Row],[PMT NO]]&lt;&gt;"",PaymentSchedule[[#This Row],[TOTAL PAYMENT]]-PaymentSchedule[[#This Row],[INTEREST]],"")</f>
        <v>#VALUE!</v>
      </c>
      <c r="I199" s="14" t="e">
        <f ca="1">IF(PaymentSchedule[[#This Row],[PMT NO]]&lt;&gt;"",PaymentSchedule[[#This Row],[BEGINNING BALANCE]]*(InterestRate/PaymentsPerYear),"")</f>
        <v>#VALUE!</v>
      </c>
      <c r="J199" s="14" t="s">
        <v>32</v>
      </c>
      <c r="K199" s="14" t="e">
        <f ca="1">IF(PaymentSchedule[[#This Row],[PMT NO]]&lt;&gt;"",SUM(INDEX(PaymentSchedule[INTEREST],1,1):PaymentSchedule[[#This Row],[INTEREST]]),"")</f>
        <v>#VALUE!</v>
      </c>
    </row>
    <row r="200" spans="2:11">
      <c r="B200" s="10">
        <f ca="1">IF(LoanIsGood,IF(ROW()-ROW(PaymentSchedule[[#Headers],[PMT NO]])&gt;ScheduledNumberOfPayments,"",ROW()-ROW(PaymentSchedule[[#Headers],[PMT NO]])),"")</f>
        <v>184</v>
      </c>
      <c r="C200" s="12">
        <f ca="1">IF(PaymentSchedule[[#This Row],[PMT NO]]&lt;&gt;"",EOMONTH(LoanStartDate,ROW(PaymentSchedule[[#This Row],[PMT NO]])-ROW(PaymentSchedule[[#Headers],[PMT NO]])-2)+DAY(LoanStartDate),"")</f>
        <v>51534</v>
      </c>
      <c r="D20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0" s="14">
        <f ca="1">IF(PaymentSchedule[[#This Row],[PMT NO]]&lt;&gt;"",ScheduledPayment,"")</f>
        <v>1073.6432460242781</v>
      </c>
      <c r="F2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0" s="14" t="e">
        <f ca="1">IF(PaymentSchedule[[#This Row],[PMT NO]]&lt;&gt;"",PaymentSchedule[[#This Row],[TOTAL PAYMENT]]-PaymentSchedule[[#This Row],[INTEREST]],"")</f>
        <v>#VALUE!</v>
      </c>
      <c r="I200" s="14" t="e">
        <f ca="1">IF(PaymentSchedule[[#This Row],[PMT NO]]&lt;&gt;"",PaymentSchedule[[#This Row],[BEGINNING BALANCE]]*(InterestRate/PaymentsPerYear),"")</f>
        <v>#VALUE!</v>
      </c>
      <c r="J200" s="14" t="s">
        <v>32</v>
      </c>
      <c r="K200" s="14" t="e">
        <f ca="1">IF(PaymentSchedule[[#This Row],[PMT NO]]&lt;&gt;"",SUM(INDEX(PaymentSchedule[INTEREST],1,1):PaymentSchedule[[#This Row],[INTEREST]]),"")</f>
        <v>#VALUE!</v>
      </c>
    </row>
    <row r="201" spans="2:11">
      <c r="B201" s="10">
        <f ca="1">IF(LoanIsGood,IF(ROW()-ROW(PaymentSchedule[[#Headers],[PMT NO]])&gt;ScheduledNumberOfPayments,"",ROW()-ROW(PaymentSchedule[[#Headers],[PMT NO]])),"")</f>
        <v>185</v>
      </c>
      <c r="C201" s="12">
        <f ca="1">IF(PaymentSchedule[[#This Row],[PMT NO]]&lt;&gt;"",EOMONTH(LoanStartDate,ROW(PaymentSchedule[[#This Row],[PMT NO]])-ROW(PaymentSchedule[[#Headers],[PMT NO]])-2)+DAY(LoanStartDate),"")</f>
        <v>51562</v>
      </c>
      <c r="D20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1" s="14">
        <f ca="1">IF(PaymentSchedule[[#This Row],[PMT NO]]&lt;&gt;"",ScheduledPayment,"")</f>
        <v>1073.6432460242781</v>
      </c>
      <c r="F2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1" s="14" t="e">
        <f ca="1">IF(PaymentSchedule[[#This Row],[PMT NO]]&lt;&gt;"",PaymentSchedule[[#This Row],[TOTAL PAYMENT]]-PaymentSchedule[[#This Row],[INTEREST]],"")</f>
        <v>#VALUE!</v>
      </c>
      <c r="I201" s="14" t="e">
        <f ca="1">IF(PaymentSchedule[[#This Row],[PMT NO]]&lt;&gt;"",PaymentSchedule[[#This Row],[BEGINNING BALANCE]]*(InterestRate/PaymentsPerYear),"")</f>
        <v>#VALUE!</v>
      </c>
      <c r="J201" s="14" t="s">
        <v>32</v>
      </c>
      <c r="K201" s="14" t="e">
        <f ca="1">IF(PaymentSchedule[[#This Row],[PMT NO]]&lt;&gt;"",SUM(INDEX(PaymentSchedule[INTEREST],1,1):PaymentSchedule[[#This Row],[INTEREST]]),"")</f>
        <v>#VALUE!</v>
      </c>
    </row>
    <row r="202" spans="2:11">
      <c r="B202" s="10">
        <f ca="1">IF(LoanIsGood,IF(ROW()-ROW(PaymentSchedule[[#Headers],[PMT NO]])&gt;ScheduledNumberOfPayments,"",ROW()-ROW(PaymentSchedule[[#Headers],[PMT NO]])),"")</f>
        <v>186</v>
      </c>
      <c r="C202" s="12">
        <f ca="1">IF(PaymentSchedule[[#This Row],[PMT NO]]&lt;&gt;"",EOMONTH(LoanStartDate,ROW(PaymentSchedule[[#This Row],[PMT NO]])-ROW(PaymentSchedule[[#Headers],[PMT NO]])-2)+DAY(LoanStartDate),"")</f>
        <v>51593</v>
      </c>
      <c r="D20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2" s="14">
        <f ca="1">IF(PaymentSchedule[[#This Row],[PMT NO]]&lt;&gt;"",ScheduledPayment,"")</f>
        <v>1073.6432460242781</v>
      </c>
      <c r="F2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2" s="14" t="e">
        <f ca="1">IF(PaymentSchedule[[#This Row],[PMT NO]]&lt;&gt;"",PaymentSchedule[[#This Row],[TOTAL PAYMENT]]-PaymentSchedule[[#This Row],[INTEREST]],"")</f>
        <v>#VALUE!</v>
      </c>
      <c r="I202" s="14" t="e">
        <f ca="1">IF(PaymentSchedule[[#This Row],[PMT NO]]&lt;&gt;"",PaymentSchedule[[#This Row],[BEGINNING BALANCE]]*(InterestRate/PaymentsPerYear),"")</f>
        <v>#VALUE!</v>
      </c>
      <c r="J202" s="14" t="s">
        <v>32</v>
      </c>
      <c r="K202" s="14" t="e">
        <f ca="1">IF(PaymentSchedule[[#This Row],[PMT NO]]&lt;&gt;"",SUM(INDEX(PaymentSchedule[INTEREST],1,1):PaymentSchedule[[#This Row],[INTEREST]]),"")</f>
        <v>#VALUE!</v>
      </c>
    </row>
    <row r="203" spans="2:11">
      <c r="B203" s="10">
        <f ca="1">IF(LoanIsGood,IF(ROW()-ROW(PaymentSchedule[[#Headers],[PMT NO]])&gt;ScheduledNumberOfPayments,"",ROW()-ROW(PaymentSchedule[[#Headers],[PMT NO]])),"")</f>
        <v>187</v>
      </c>
      <c r="C203" s="12">
        <f ca="1">IF(PaymentSchedule[[#This Row],[PMT NO]]&lt;&gt;"",EOMONTH(LoanStartDate,ROW(PaymentSchedule[[#This Row],[PMT NO]])-ROW(PaymentSchedule[[#Headers],[PMT NO]])-2)+DAY(LoanStartDate),"")</f>
        <v>51623</v>
      </c>
      <c r="D20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3" s="14">
        <f ca="1">IF(PaymentSchedule[[#This Row],[PMT NO]]&lt;&gt;"",ScheduledPayment,"")</f>
        <v>1073.6432460242781</v>
      </c>
      <c r="F2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3" s="14" t="e">
        <f ca="1">IF(PaymentSchedule[[#This Row],[PMT NO]]&lt;&gt;"",PaymentSchedule[[#This Row],[TOTAL PAYMENT]]-PaymentSchedule[[#This Row],[INTEREST]],"")</f>
        <v>#VALUE!</v>
      </c>
      <c r="I203" s="14" t="e">
        <f ca="1">IF(PaymentSchedule[[#This Row],[PMT NO]]&lt;&gt;"",PaymentSchedule[[#This Row],[BEGINNING BALANCE]]*(InterestRate/PaymentsPerYear),"")</f>
        <v>#VALUE!</v>
      </c>
      <c r="J203" s="14" t="s">
        <v>32</v>
      </c>
      <c r="K203" s="14" t="e">
        <f ca="1">IF(PaymentSchedule[[#This Row],[PMT NO]]&lt;&gt;"",SUM(INDEX(PaymentSchedule[INTEREST],1,1):PaymentSchedule[[#This Row],[INTEREST]]),"")</f>
        <v>#VALUE!</v>
      </c>
    </row>
    <row r="204" spans="2:11">
      <c r="B204" s="10">
        <f ca="1">IF(LoanIsGood,IF(ROW()-ROW(PaymentSchedule[[#Headers],[PMT NO]])&gt;ScheduledNumberOfPayments,"",ROW()-ROW(PaymentSchedule[[#Headers],[PMT NO]])),"")</f>
        <v>188</v>
      </c>
      <c r="C204" s="12">
        <f ca="1">IF(PaymentSchedule[[#This Row],[PMT NO]]&lt;&gt;"",EOMONTH(LoanStartDate,ROW(PaymentSchedule[[#This Row],[PMT NO]])-ROW(PaymentSchedule[[#Headers],[PMT NO]])-2)+DAY(LoanStartDate),"")</f>
        <v>51654</v>
      </c>
      <c r="D20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4" s="14">
        <f ca="1">IF(PaymentSchedule[[#This Row],[PMT NO]]&lt;&gt;"",ScheduledPayment,"")</f>
        <v>1073.6432460242781</v>
      </c>
      <c r="F2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4" s="14" t="e">
        <f ca="1">IF(PaymentSchedule[[#This Row],[PMT NO]]&lt;&gt;"",PaymentSchedule[[#This Row],[TOTAL PAYMENT]]-PaymentSchedule[[#This Row],[INTEREST]],"")</f>
        <v>#VALUE!</v>
      </c>
      <c r="I204" s="14" t="e">
        <f ca="1">IF(PaymentSchedule[[#This Row],[PMT NO]]&lt;&gt;"",PaymentSchedule[[#This Row],[BEGINNING BALANCE]]*(InterestRate/PaymentsPerYear),"")</f>
        <v>#VALUE!</v>
      </c>
      <c r="J204" s="14" t="s">
        <v>32</v>
      </c>
      <c r="K204" s="14" t="e">
        <f ca="1">IF(PaymentSchedule[[#This Row],[PMT NO]]&lt;&gt;"",SUM(INDEX(PaymentSchedule[INTEREST],1,1):PaymentSchedule[[#This Row],[INTEREST]]),"")</f>
        <v>#VALUE!</v>
      </c>
    </row>
    <row r="205" spans="2:11">
      <c r="B205" s="10">
        <f ca="1">IF(LoanIsGood,IF(ROW()-ROW(PaymentSchedule[[#Headers],[PMT NO]])&gt;ScheduledNumberOfPayments,"",ROW()-ROW(PaymentSchedule[[#Headers],[PMT NO]])),"")</f>
        <v>189</v>
      </c>
      <c r="C205" s="12">
        <f ca="1">IF(PaymentSchedule[[#This Row],[PMT NO]]&lt;&gt;"",EOMONTH(LoanStartDate,ROW(PaymentSchedule[[#This Row],[PMT NO]])-ROW(PaymentSchedule[[#Headers],[PMT NO]])-2)+DAY(LoanStartDate),"")</f>
        <v>51684</v>
      </c>
      <c r="D20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5" s="14">
        <f ca="1">IF(PaymentSchedule[[#This Row],[PMT NO]]&lt;&gt;"",ScheduledPayment,"")</f>
        <v>1073.6432460242781</v>
      </c>
      <c r="F2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5" s="14" t="e">
        <f ca="1">IF(PaymentSchedule[[#This Row],[PMT NO]]&lt;&gt;"",PaymentSchedule[[#This Row],[TOTAL PAYMENT]]-PaymentSchedule[[#This Row],[INTEREST]],"")</f>
        <v>#VALUE!</v>
      </c>
      <c r="I205" s="14" t="e">
        <f ca="1">IF(PaymentSchedule[[#This Row],[PMT NO]]&lt;&gt;"",PaymentSchedule[[#This Row],[BEGINNING BALANCE]]*(InterestRate/PaymentsPerYear),"")</f>
        <v>#VALUE!</v>
      </c>
      <c r="J205" s="14" t="s">
        <v>32</v>
      </c>
      <c r="K205" s="14" t="e">
        <f ca="1">IF(PaymentSchedule[[#This Row],[PMT NO]]&lt;&gt;"",SUM(INDEX(PaymentSchedule[INTEREST],1,1):PaymentSchedule[[#This Row],[INTEREST]]),"")</f>
        <v>#VALUE!</v>
      </c>
    </row>
    <row r="206" spans="2:11">
      <c r="B206" s="10">
        <f ca="1">IF(LoanIsGood,IF(ROW()-ROW(PaymentSchedule[[#Headers],[PMT NO]])&gt;ScheduledNumberOfPayments,"",ROW()-ROW(PaymentSchedule[[#Headers],[PMT NO]])),"")</f>
        <v>190</v>
      </c>
      <c r="C206" s="12">
        <f ca="1">IF(PaymentSchedule[[#This Row],[PMT NO]]&lt;&gt;"",EOMONTH(LoanStartDate,ROW(PaymentSchedule[[#This Row],[PMT NO]])-ROW(PaymentSchedule[[#Headers],[PMT NO]])-2)+DAY(LoanStartDate),"")</f>
        <v>51715</v>
      </c>
      <c r="D20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6" s="14">
        <f ca="1">IF(PaymentSchedule[[#This Row],[PMT NO]]&lt;&gt;"",ScheduledPayment,"")</f>
        <v>1073.6432460242781</v>
      </c>
      <c r="F2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6" s="14" t="e">
        <f ca="1">IF(PaymentSchedule[[#This Row],[PMT NO]]&lt;&gt;"",PaymentSchedule[[#This Row],[TOTAL PAYMENT]]-PaymentSchedule[[#This Row],[INTEREST]],"")</f>
        <v>#VALUE!</v>
      </c>
      <c r="I206" s="14" t="e">
        <f ca="1">IF(PaymentSchedule[[#This Row],[PMT NO]]&lt;&gt;"",PaymentSchedule[[#This Row],[BEGINNING BALANCE]]*(InterestRate/PaymentsPerYear),"")</f>
        <v>#VALUE!</v>
      </c>
      <c r="J206" s="14" t="s">
        <v>32</v>
      </c>
      <c r="K206" s="14" t="e">
        <f ca="1">IF(PaymentSchedule[[#This Row],[PMT NO]]&lt;&gt;"",SUM(INDEX(PaymentSchedule[INTEREST],1,1):PaymentSchedule[[#This Row],[INTEREST]]),"")</f>
        <v>#VALUE!</v>
      </c>
    </row>
    <row r="207" spans="2:11">
      <c r="B207" s="10">
        <f ca="1">IF(LoanIsGood,IF(ROW()-ROW(PaymentSchedule[[#Headers],[PMT NO]])&gt;ScheduledNumberOfPayments,"",ROW()-ROW(PaymentSchedule[[#Headers],[PMT NO]])),"")</f>
        <v>191</v>
      </c>
      <c r="C207" s="12">
        <f ca="1">IF(PaymentSchedule[[#This Row],[PMT NO]]&lt;&gt;"",EOMONTH(LoanStartDate,ROW(PaymentSchedule[[#This Row],[PMT NO]])-ROW(PaymentSchedule[[#Headers],[PMT NO]])-2)+DAY(LoanStartDate),"")</f>
        <v>51746</v>
      </c>
      <c r="D20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7" s="14">
        <f ca="1">IF(PaymentSchedule[[#This Row],[PMT NO]]&lt;&gt;"",ScheduledPayment,"")</f>
        <v>1073.6432460242781</v>
      </c>
      <c r="F2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7" s="14" t="e">
        <f ca="1">IF(PaymentSchedule[[#This Row],[PMT NO]]&lt;&gt;"",PaymentSchedule[[#This Row],[TOTAL PAYMENT]]-PaymentSchedule[[#This Row],[INTEREST]],"")</f>
        <v>#VALUE!</v>
      </c>
      <c r="I207" s="14" t="e">
        <f ca="1">IF(PaymentSchedule[[#This Row],[PMT NO]]&lt;&gt;"",PaymentSchedule[[#This Row],[BEGINNING BALANCE]]*(InterestRate/PaymentsPerYear),"")</f>
        <v>#VALUE!</v>
      </c>
      <c r="J207" s="14" t="s">
        <v>32</v>
      </c>
      <c r="K207" s="14" t="e">
        <f ca="1">IF(PaymentSchedule[[#This Row],[PMT NO]]&lt;&gt;"",SUM(INDEX(PaymentSchedule[INTEREST],1,1):PaymentSchedule[[#This Row],[INTEREST]]),"")</f>
        <v>#VALUE!</v>
      </c>
    </row>
    <row r="208" spans="2:11">
      <c r="B208" s="10">
        <f ca="1">IF(LoanIsGood,IF(ROW()-ROW(PaymentSchedule[[#Headers],[PMT NO]])&gt;ScheduledNumberOfPayments,"",ROW()-ROW(PaymentSchedule[[#Headers],[PMT NO]])),"")</f>
        <v>192</v>
      </c>
      <c r="C208" s="12">
        <f ca="1">IF(PaymentSchedule[[#This Row],[PMT NO]]&lt;&gt;"",EOMONTH(LoanStartDate,ROW(PaymentSchedule[[#This Row],[PMT NO]])-ROW(PaymentSchedule[[#Headers],[PMT NO]])-2)+DAY(LoanStartDate),"")</f>
        <v>51776</v>
      </c>
      <c r="D20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8" s="14">
        <f ca="1">IF(PaymentSchedule[[#This Row],[PMT NO]]&lt;&gt;"",ScheduledPayment,"")</f>
        <v>1073.6432460242781</v>
      </c>
      <c r="F2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8" s="14" t="e">
        <f ca="1">IF(PaymentSchedule[[#This Row],[PMT NO]]&lt;&gt;"",PaymentSchedule[[#This Row],[TOTAL PAYMENT]]-PaymentSchedule[[#This Row],[INTEREST]],"")</f>
        <v>#VALUE!</v>
      </c>
      <c r="I208" s="14" t="e">
        <f ca="1">IF(PaymentSchedule[[#This Row],[PMT NO]]&lt;&gt;"",PaymentSchedule[[#This Row],[BEGINNING BALANCE]]*(InterestRate/PaymentsPerYear),"")</f>
        <v>#VALUE!</v>
      </c>
      <c r="J208" s="14" t="s">
        <v>32</v>
      </c>
      <c r="K208" s="14" t="e">
        <f ca="1">IF(PaymentSchedule[[#This Row],[PMT NO]]&lt;&gt;"",SUM(INDEX(PaymentSchedule[INTEREST],1,1):PaymentSchedule[[#This Row],[INTEREST]]),"")</f>
        <v>#VALUE!</v>
      </c>
    </row>
    <row r="209" spans="2:11">
      <c r="B209" s="10">
        <f ca="1">IF(LoanIsGood,IF(ROW()-ROW(PaymentSchedule[[#Headers],[PMT NO]])&gt;ScheduledNumberOfPayments,"",ROW()-ROW(PaymentSchedule[[#Headers],[PMT NO]])),"")</f>
        <v>193</v>
      </c>
      <c r="C209" s="12">
        <f ca="1">IF(PaymentSchedule[[#This Row],[PMT NO]]&lt;&gt;"",EOMONTH(LoanStartDate,ROW(PaymentSchedule[[#This Row],[PMT NO]])-ROW(PaymentSchedule[[#Headers],[PMT NO]])-2)+DAY(LoanStartDate),"")</f>
        <v>51807</v>
      </c>
      <c r="D20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09" s="14">
        <f ca="1">IF(PaymentSchedule[[#This Row],[PMT NO]]&lt;&gt;"",ScheduledPayment,"")</f>
        <v>1073.6432460242781</v>
      </c>
      <c r="F2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09" s="14" t="e">
        <f ca="1">IF(PaymentSchedule[[#This Row],[PMT NO]]&lt;&gt;"",PaymentSchedule[[#This Row],[TOTAL PAYMENT]]-PaymentSchedule[[#This Row],[INTEREST]],"")</f>
        <v>#VALUE!</v>
      </c>
      <c r="I209" s="14" t="e">
        <f ca="1">IF(PaymentSchedule[[#This Row],[PMT NO]]&lt;&gt;"",PaymentSchedule[[#This Row],[BEGINNING BALANCE]]*(InterestRate/PaymentsPerYear),"")</f>
        <v>#VALUE!</v>
      </c>
      <c r="J209" s="14" t="s">
        <v>32</v>
      </c>
      <c r="K209" s="14" t="e">
        <f ca="1">IF(PaymentSchedule[[#This Row],[PMT NO]]&lt;&gt;"",SUM(INDEX(PaymentSchedule[INTEREST],1,1):PaymentSchedule[[#This Row],[INTEREST]]),"")</f>
        <v>#VALUE!</v>
      </c>
    </row>
    <row r="210" spans="2:11">
      <c r="B210" s="10">
        <f ca="1">IF(LoanIsGood,IF(ROW()-ROW(PaymentSchedule[[#Headers],[PMT NO]])&gt;ScheduledNumberOfPayments,"",ROW()-ROW(PaymentSchedule[[#Headers],[PMT NO]])),"")</f>
        <v>194</v>
      </c>
      <c r="C210" s="12">
        <f ca="1">IF(PaymentSchedule[[#This Row],[PMT NO]]&lt;&gt;"",EOMONTH(LoanStartDate,ROW(PaymentSchedule[[#This Row],[PMT NO]])-ROW(PaymentSchedule[[#Headers],[PMT NO]])-2)+DAY(LoanStartDate),"")</f>
        <v>51837</v>
      </c>
      <c r="D21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0" s="14">
        <f ca="1">IF(PaymentSchedule[[#This Row],[PMT NO]]&lt;&gt;"",ScheduledPayment,"")</f>
        <v>1073.6432460242781</v>
      </c>
      <c r="F2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0" s="14" t="e">
        <f ca="1">IF(PaymentSchedule[[#This Row],[PMT NO]]&lt;&gt;"",PaymentSchedule[[#This Row],[TOTAL PAYMENT]]-PaymentSchedule[[#This Row],[INTEREST]],"")</f>
        <v>#VALUE!</v>
      </c>
      <c r="I210" s="14" t="e">
        <f ca="1">IF(PaymentSchedule[[#This Row],[PMT NO]]&lt;&gt;"",PaymentSchedule[[#This Row],[BEGINNING BALANCE]]*(InterestRate/PaymentsPerYear),"")</f>
        <v>#VALUE!</v>
      </c>
      <c r="J210" s="14" t="s">
        <v>32</v>
      </c>
      <c r="K210" s="14" t="e">
        <f ca="1">IF(PaymentSchedule[[#This Row],[PMT NO]]&lt;&gt;"",SUM(INDEX(PaymentSchedule[INTEREST],1,1):PaymentSchedule[[#This Row],[INTEREST]]),"")</f>
        <v>#VALUE!</v>
      </c>
    </row>
    <row r="211" spans="2:11">
      <c r="B211" s="10">
        <f ca="1">IF(LoanIsGood,IF(ROW()-ROW(PaymentSchedule[[#Headers],[PMT NO]])&gt;ScheduledNumberOfPayments,"",ROW()-ROW(PaymentSchedule[[#Headers],[PMT NO]])),"")</f>
        <v>195</v>
      </c>
      <c r="C211" s="12">
        <f ca="1">IF(PaymentSchedule[[#This Row],[PMT NO]]&lt;&gt;"",EOMONTH(LoanStartDate,ROW(PaymentSchedule[[#This Row],[PMT NO]])-ROW(PaymentSchedule[[#Headers],[PMT NO]])-2)+DAY(LoanStartDate),"")</f>
        <v>51868</v>
      </c>
      <c r="D21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1" s="14">
        <f ca="1">IF(PaymentSchedule[[#This Row],[PMT NO]]&lt;&gt;"",ScheduledPayment,"")</f>
        <v>1073.6432460242781</v>
      </c>
      <c r="F2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1" s="14" t="e">
        <f ca="1">IF(PaymentSchedule[[#This Row],[PMT NO]]&lt;&gt;"",PaymentSchedule[[#This Row],[TOTAL PAYMENT]]-PaymentSchedule[[#This Row],[INTEREST]],"")</f>
        <v>#VALUE!</v>
      </c>
      <c r="I211" s="14" t="e">
        <f ca="1">IF(PaymentSchedule[[#This Row],[PMT NO]]&lt;&gt;"",PaymentSchedule[[#This Row],[BEGINNING BALANCE]]*(InterestRate/PaymentsPerYear),"")</f>
        <v>#VALUE!</v>
      </c>
      <c r="J211" s="14" t="s">
        <v>32</v>
      </c>
      <c r="K211" s="14" t="e">
        <f ca="1">IF(PaymentSchedule[[#This Row],[PMT NO]]&lt;&gt;"",SUM(INDEX(PaymentSchedule[INTEREST],1,1):PaymentSchedule[[#This Row],[INTEREST]]),"")</f>
        <v>#VALUE!</v>
      </c>
    </row>
    <row r="212" spans="2:11">
      <c r="B212" s="10">
        <f ca="1">IF(LoanIsGood,IF(ROW()-ROW(PaymentSchedule[[#Headers],[PMT NO]])&gt;ScheduledNumberOfPayments,"",ROW()-ROW(PaymentSchedule[[#Headers],[PMT NO]])),"")</f>
        <v>196</v>
      </c>
      <c r="C212" s="12">
        <f ca="1">IF(PaymentSchedule[[#This Row],[PMT NO]]&lt;&gt;"",EOMONTH(LoanStartDate,ROW(PaymentSchedule[[#This Row],[PMT NO]])-ROW(PaymentSchedule[[#Headers],[PMT NO]])-2)+DAY(LoanStartDate),"")</f>
        <v>51899</v>
      </c>
      <c r="D21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2" s="14">
        <f ca="1">IF(PaymentSchedule[[#This Row],[PMT NO]]&lt;&gt;"",ScheduledPayment,"")</f>
        <v>1073.6432460242781</v>
      </c>
      <c r="F2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2" s="14" t="e">
        <f ca="1">IF(PaymentSchedule[[#This Row],[PMT NO]]&lt;&gt;"",PaymentSchedule[[#This Row],[TOTAL PAYMENT]]-PaymentSchedule[[#This Row],[INTEREST]],"")</f>
        <v>#VALUE!</v>
      </c>
      <c r="I212" s="14" t="e">
        <f ca="1">IF(PaymentSchedule[[#This Row],[PMT NO]]&lt;&gt;"",PaymentSchedule[[#This Row],[BEGINNING BALANCE]]*(InterestRate/PaymentsPerYear),"")</f>
        <v>#VALUE!</v>
      </c>
      <c r="J212" s="14" t="s">
        <v>32</v>
      </c>
      <c r="K212" s="14" t="e">
        <f ca="1">IF(PaymentSchedule[[#This Row],[PMT NO]]&lt;&gt;"",SUM(INDEX(PaymentSchedule[INTEREST],1,1):PaymentSchedule[[#This Row],[INTEREST]]),"")</f>
        <v>#VALUE!</v>
      </c>
    </row>
    <row r="213" spans="2:11">
      <c r="B213" s="10">
        <f ca="1">IF(LoanIsGood,IF(ROW()-ROW(PaymentSchedule[[#Headers],[PMT NO]])&gt;ScheduledNumberOfPayments,"",ROW()-ROW(PaymentSchedule[[#Headers],[PMT NO]])),"")</f>
        <v>197</v>
      </c>
      <c r="C213" s="12">
        <f ca="1">IF(PaymentSchedule[[#This Row],[PMT NO]]&lt;&gt;"",EOMONTH(LoanStartDate,ROW(PaymentSchedule[[#This Row],[PMT NO]])-ROW(PaymentSchedule[[#Headers],[PMT NO]])-2)+DAY(LoanStartDate),"")</f>
        <v>51927</v>
      </c>
      <c r="D21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3" s="14">
        <f ca="1">IF(PaymentSchedule[[#This Row],[PMT NO]]&lt;&gt;"",ScheduledPayment,"")</f>
        <v>1073.6432460242781</v>
      </c>
      <c r="F2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3" s="14" t="e">
        <f ca="1">IF(PaymentSchedule[[#This Row],[PMT NO]]&lt;&gt;"",PaymentSchedule[[#This Row],[TOTAL PAYMENT]]-PaymentSchedule[[#This Row],[INTEREST]],"")</f>
        <v>#VALUE!</v>
      </c>
      <c r="I213" s="14" t="e">
        <f ca="1">IF(PaymentSchedule[[#This Row],[PMT NO]]&lt;&gt;"",PaymentSchedule[[#This Row],[BEGINNING BALANCE]]*(InterestRate/PaymentsPerYear),"")</f>
        <v>#VALUE!</v>
      </c>
      <c r="J213" s="14" t="s">
        <v>32</v>
      </c>
      <c r="K213" s="14" t="e">
        <f ca="1">IF(PaymentSchedule[[#This Row],[PMT NO]]&lt;&gt;"",SUM(INDEX(PaymentSchedule[INTEREST],1,1):PaymentSchedule[[#This Row],[INTEREST]]),"")</f>
        <v>#VALUE!</v>
      </c>
    </row>
    <row r="214" spans="2:11">
      <c r="B214" s="10">
        <f ca="1">IF(LoanIsGood,IF(ROW()-ROW(PaymentSchedule[[#Headers],[PMT NO]])&gt;ScheduledNumberOfPayments,"",ROW()-ROW(PaymentSchedule[[#Headers],[PMT NO]])),"")</f>
        <v>198</v>
      </c>
      <c r="C214" s="12">
        <f ca="1">IF(PaymentSchedule[[#This Row],[PMT NO]]&lt;&gt;"",EOMONTH(LoanStartDate,ROW(PaymentSchedule[[#This Row],[PMT NO]])-ROW(PaymentSchedule[[#Headers],[PMT NO]])-2)+DAY(LoanStartDate),"")</f>
        <v>51958</v>
      </c>
      <c r="D21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4" s="14">
        <f ca="1">IF(PaymentSchedule[[#This Row],[PMT NO]]&lt;&gt;"",ScheduledPayment,"")</f>
        <v>1073.6432460242781</v>
      </c>
      <c r="F2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4" s="14" t="e">
        <f ca="1">IF(PaymentSchedule[[#This Row],[PMT NO]]&lt;&gt;"",PaymentSchedule[[#This Row],[TOTAL PAYMENT]]-PaymentSchedule[[#This Row],[INTEREST]],"")</f>
        <v>#VALUE!</v>
      </c>
      <c r="I214" s="14" t="e">
        <f ca="1">IF(PaymentSchedule[[#This Row],[PMT NO]]&lt;&gt;"",PaymentSchedule[[#This Row],[BEGINNING BALANCE]]*(InterestRate/PaymentsPerYear),"")</f>
        <v>#VALUE!</v>
      </c>
      <c r="J214" s="14" t="s">
        <v>32</v>
      </c>
      <c r="K214" s="14" t="e">
        <f ca="1">IF(PaymentSchedule[[#This Row],[PMT NO]]&lt;&gt;"",SUM(INDEX(PaymentSchedule[INTEREST],1,1):PaymentSchedule[[#This Row],[INTEREST]]),"")</f>
        <v>#VALUE!</v>
      </c>
    </row>
    <row r="215" spans="2:11">
      <c r="B215" s="10">
        <f ca="1">IF(LoanIsGood,IF(ROW()-ROW(PaymentSchedule[[#Headers],[PMT NO]])&gt;ScheduledNumberOfPayments,"",ROW()-ROW(PaymentSchedule[[#Headers],[PMT NO]])),"")</f>
        <v>199</v>
      </c>
      <c r="C215" s="12">
        <f ca="1">IF(PaymentSchedule[[#This Row],[PMT NO]]&lt;&gt;"",EOMONTH(LoanStartDate,ROW(PaymentSchedule[[#This Row],[PMT NO]])-ROW(PaymentSchedule[[#Headers],[PMT NO]])-2)+DAY(LoanStartDate),"")</f>
        <v>51988</v>
      </c>
      <c r="D21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5" s="14">
        <f ca="1">IF(PaymentSchedule[[#This Row],[PMT NO]]&lt;&gt;"",ScheduledPayment,"")</f>
        <v>1073.6432460242781</v>
      </c>
      <c r="F2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5" s="14" t="e">
        <f ca="1">IF(PaymentSchedule[[#This Row],[PMT NO]]&lt;&gt;"",PaymentSchedule[[#This Row],[TOTAL PAYMENT]]-PaymentSchedule[[#This Row],[INTEREST]],"")</f>
        <v>#VALUE!</v>
      </c>
      <c r="I215" s="14" t="e">
        <f ca="1">IF(PaymentSchedule[[#This Row],[PMT NO]]&lt;&gt;"",PaymentSchedule[[#This Row],[BEGINNING BALANCE]]*(InterestRate/PaymentsPerYear),"")</f>
        <v>#VALUE!</v>
      </c>
      <c r="J215" s="14" t="s">
        <v>32</v>
      </c>
      <c r="K215" s="14" t="e">
        <f ca="1">IF(PaymentSchedule[[#This Row],[PMT NO]]&lt;&gt;"",SUM(INDEX(PaymentSchedule[INTEREST],1,1):PaymentSchedule[[#This Row],[INTEREST]]),"")</f>
        <v>#VALUE!</v>
      </c>
    </row>
    <row r="216" spans="2:11">
      <c r="B216" s="10">
        <f ca="1">IF(LoanIsGood,IF(ROW()-ROW(PaymentSchedule[[#Headers],[PMT NO]])&gt;ScheduledNumberOfPayments,"",ROW()-ROW(PaymentSchedule[[#Headers],[PMT NO]])),"")</f>
        <v>200</v>
      </c>
      <c r="C216" s="12">
        <f ca="1">IF(PaymentSchedule[[#This Row],[PMT NO]]&lt;&gt;"",EOMONTH(LoanStartDate,ROW(PaymentSchedule[[#This Row],[PMT NO]])-ROW(PaymentSchedule[[#Headers],[PMT NO]])-2)+DAY(LoanStartDate),"")</f>
        <v>52019</v>
      </c>
      <c r="D21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6" s="14">
        <f ca="1">IF(PaymentSchedule[[#This Row],[PMT NO]]&lt;&gt;"",ScheduledPayment,"")</f>
        <v>1073.6432460242781</v>
      </c>
      <c r="F2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6" s="14" t="e">
        <f ca="1">IF(PaymentSchedule[[#This Row],[PMT NO]]&lt;&gt;"",PaymentSchedule[[#This Row],[TOTAL PAYMENT]]-PaymentSchedule[[#This Row],[INTEREST]],"")</f>
        <v>#VALUE!</v>
      </c>
      <c r="I216" s="14" t="e">
        <f ca="1">IF(PaymentSchedule[[#This Row],[PMT NO]]&lt;&gt;"",PaymentSchedule[[#This Row],[BEGINNING BALANCE]]*(InterestRate/PaymentsPerYear),"")</f>
        <v>#VALUE!</v>
      </c>
      <c r="J216" s="14" t="s">
        <v>32</v>
      </c>
      <c r="K216" s="14" t="e">
        <f ca="1">IF(PaymentSchedule[[#This Row],[PMT NO]]&lt;&gt;"",SUM(INDEX(PaymentSchedule[INTEREST],1,1):PaymentSchedule[[#This Row],[INTEREST]]),"")</f>
        <v>#VALUE!</v>
      </c>
    </row>
    <row r="217" spans="2:11">
      <c r="B217" s="10">
        <f ca="1">IF(LoanIsGood,IF(ROW()-ROW(PaymentSchedule[[#Headers],[PMT NO]])&gt;ScheduledNumberOfPayments,"",ROW()-ROW(PaymentSchedule[[#Headers],[PMT NO]])),"")</f>
        <v>201</v>
      </c>
      <c r="C217" s="12">
        <f ca="1">IF(PaymentSchedule[[#This Row],[PMT NO]]&lt;&gt;"",EOMONTH(LoanStartDate,ROW(PaymentSchedule[[#This Row],[PMT NO]])-ROW(PaymentSchedule[[#Headers],[PMT NO]])-2)+DAY(LoanStartDate),"")</f>
        <v>52049</v>
      </c>
      <c r="D21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7" s="14">
        <f ca="1">IF(PaymentSchedule[[#This Row],[PMT NO]]&lt;&gt;"",ScheduledPayment,"")</f>
        <v>1073.6432460242781</v>
      </c>
      <c r="F2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7" s="14" t="e">
        <f ca="1">IF(PaymentSchedule[[#This Row],[PMT NO]]&lt;&gt;"",PaymentSchedule[[#This Row],[TOTAL PAYMENT]]-PaymentSchedule[[#This Row],[INTEREST]],"")</f>
        <v>#VALUE!</v>
      </c>
      <c r="I217" s="14" t="e">
        <f ca="1">IF(PaymentSchedule[[#This Row],[PMT NO]]&lt;&gt;"",PaymentSchedule[[#This Row],[BEGINNING BALANCE]]*(InterestRate/PaymentsPerYear),"")</f>
        <v>#VALUE!</v>
      </c>
      <c r="J217" s="14" t="s">
        <v>32</v>
      </c>
      <c r="K217" s="14" t="e">
        <f ca="1">IF(PaymentSchedule[[#This Row],[PMT NO]]&lt;&gt;"",SUM(INDEX(PaymentSchedule[INTEREST],1,1):PaymentSchedule[[#This Row],[INTEREST]]),"")</f>
        <v>#VALUE!</v>
      </c>
    </row>
    <row r="218" spans="2:11">
      <c r="B218" s="10">
        <f ca="1">IF(LoanIsGood,IF(ROW()-ROW(PaymentSchedule[[#Headers],[PMT NO]])&gt;ScheduledNumberOfPayments,"",ROW()-ROW(PaymentSchedule[[#Headers],[PMT NO]])),"")</f>
        <v>202</v>
      </c>
      <c r="C218" s="12">
        <f ca="1">IF(PaymentSchedule[[#This Row],[PMT NO]]&lt;&gt;"",EOMONTH(LoanStartDate,ROW(PaymentSchedule[[#This Row],[PMT NO]])-ROW(PaymentSchedule[[#Headers],[PMT NO]])-2)+DAY(LoanStartDate),"")</f>
        <v>52080</v>
      </c>
      <c r="D21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8" s="14">
        <f ca="1">IF(PaymentSchedule[[#This Row],[PMT NO]]&lt;&gt;"",ScheduledPayment,"")</f>
        <v>1073.6432460242781</v>
      </c>
      <c r="F2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8" s="14" t="e">
        <f ca="1">IF(PaymentSchedule[[#This Row],[PMT NO]]&lt;&gt;"",PaymentSchedule[[#This Row],[TOTAL PAYMENT]]-PaymentSchedule[[#This Row],[INTEREST]],"")</f>
        <v>#VALUE!</v>
      </c>
      <c r="I218" s="14" t="e">
        <f ca="1">IF(PaymentSchedule[[#This Row],[PMT NO]]&lt;&gt;"",PaymentSchedule[[#This Row],[BEGINNING BALANCE]]*(InterestRate/PaymentsPerYear),"")</f>
        <v>#VALUE!</v>
      </c>
      <c r="J218" s="14" t="s">
        <v>32</v>
      </c>
      <c r="K218" s="14" t="e">
        <f ca="1">IF(PaymentSchedule[[#This Row],[PMT NO]]&lt;&gt;"",SUM(INDEX(PaymentSchedule[INTEREST],1,1):PaymentSchedule[[#This Row],[INTEREST]]),"")</f>
        <v>#VALUE!</v>
      </c>
    </row>
    <row r="219" spans="2:11">
      <c r="B219" s="10">
        <f ca="1">IF(LoanIsGood,IF(ROW()-ROW(PaymentSchedule[[#Headers],[PMT NO]])&gt;ScheduledNumberOfPayments,"",ROW()-ROW(PaymentSchedule[[#Headers],[PMT NO]])),"")</f>
        <v>203</v>
      </c>
      <c r="C219" s="12">
        <f ca="1">IF(PaymentSchedule[[#This Row],[PMT NO]]&lt;&gt;"",EOMONTH(LoanStartDate,ROW(PaymentSchedule[[#This Row],[PMT NO]])-ROW(PaymentSchedule[[#Headers],[PMT NO]])-2)+DAY(LoanStartDate),"")</f>
        <v>52111</v>
      </c>
      <c r="D21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19" s="14">
        <f ca="1">IF(PaymentSchedule[[#This Row],[PMT NO]]&lt;&gt;"",ScheduledPayment,"")</f>
        <v>1073.6432460242781</v>
      </c>
      <c r="F2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1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19" s="14" t="e">
        <f ca="1">IF(PaymentSchedule[[#This Row],[PMT NO]]&lt;&gt;"",PaymentSchedule[[#This Row],[TOTAL PAYMENT]]-PaymentSchedule[[#This Row],[INTEREST]],"")</f>
        <v>#VALUE!</v>
      </c>
      <c r="I219" s="14" t="e">
        <f ca="1">IF(PaymentSchedule[[#This Row],[PMT NO]]&lt;&gt;"",PaymentSchedule[[#This Row],[BEGINNING BALANCE]]*(InterestRate/PaymentsPerYear),"")</f>
        <v>#VALUE!</v>
      </c>
      <c r="J219" s="14" t="s">
        <v>32</v>
      </c>
      <c r="K219" s="14" t="e">
        <f ca="1">IF(PaymentSchedule[[#This Row],[PMT NO]]&lt;&gt;"",SUM(INDEX(PaymentSchedule[INTEREST],1,1):PaymentSchedule[[#This Row],[INTEREST]]),"")</f>
        <v>#VALUE!</v>
      </c>
    </row>
    <row r="220" spans="2:11">
      <c r="B220" s="10">
        <f ca="1">IF(LoanIsGood,IF(ROW()-ROW(PaymentSchedule[[#Headers],[PMT NO]])&gt;ScheduledNumberOfPayments,"",ROW()-ROW(PaymentSchedule[[#Headers],[PMT NO]])),"")</f>
        <v>204</v>
      </c>
      <c r="C220" s="12">
        <f ca="1">IF(PaymentSchedule[[#This Row],[PMT NO]]&lt;&gt;"",EOMONTH(LoanStartDate,ROW(PaymentSchedule[[#This Row],[PMT NO]])-ROW(PaymentSchedule[[#Headers],[PMT NO]])-2)+DAY(LoanStartDate),"")</f>
        <v>52141</v>
      </c>
      <c r="D22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0" s="14">
        <f ca="1">IF(PaymentSchedule[[#This Row],[PMT NO]]&lt;&gt;"",ScheduledPayment,"")</f>
        <v>1073.6432460242781</v>
      </c>
      <c r="F2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0" s="14" t="e">
        <f ca="1">IF(PaymentSchedule[[#This Row],[PMT NO]]&lt;&gt;"",PaymentSchedule[[#This Row],[TOTAL PAYMENT]]-PaymentSchedule[[#This Row],[INTEREST]],"")</f>
        <v>#VALUE!</v>
      </c>
      <c r="I220" s="14" t="e">
        <f ca="1">IF(PaymentSchedule[[#This Row],[PMT NO]]&lt;&gt;"",PaymentSchedule[[#This Row],[BEGINNING BALANCE]]*(InterestRate/PaymentsPerYear),"")</f>
        <v>#VALUE!</v>
      </c>
      <c r="J220" s="14" t="s">
        <v>32</v>
      </c>
      <c r="K220" s="14" t="e">
        <f ca="1">IF(PaymentSchedule[[#This Row],[PMT NO]]&lt;&gt;"",SUM(INDEX(PaymentSchedule[INTEREST],1,1):PaymentSchedule[[#This Row],[INTEREST]]),"")</f>
        <v>#VALUE!</v>
      </c>
    </row>
    <row r="221" spans="2:11">
      <c r="B221" s="10">
        <f ca="1">IF(LoanIsGood,IF(ROW()-ROW(PaymentSchedule[[#Headers],[PMT NO]])&gt;ScheduledNumberOfPayments,"",ROW()-ROW(PaymentSchedule[[#Headers],[PMT NO]])),"")</f>
        <v>205</v>
      </c>
      <c r="C221" s="12">
        <f ca="1">IF(PaymentSchedule[[#This Row],[PMT NO]]&lt;&gt;"",EOMONTH(LoanStartDate,ROW(PaymentSchedule[[#This Row],[PMT NO]])-ROW(PaymentSchedule[[#Headers],[PMT NO]])-2)+DAY(LoanStartDate),"")</f>
        <v>52172</v>
      </c>
      <c r="D22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1" s="14">
        <f ca="1">IF(PaymentSchedule[[#This Row],[PMT NO]]&lt;&gt;"",ScheduledPayment,"")</f>
        <v>1073.6432460242781</v>
      </c>
      <c r="F2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1" s="14" t="e">
        <f ca="1">IF(PaymentSchedule[[#This Row],[PMT NO]]&lt;&gt;"",PaymentSchedule[[#This Row],[TOTAL PAYMENT]]-PaymentSchedule[[#This Row],[INTEREST]],"")</f>
        <v>#VALUE!</v>
      </c>
      <c r="I221" s="14" t="e">
        <f ca="1">IF(PaymentSchedule[[#This Row],[PMT NO]]&lt;&gt;"",PaymentSchedule[[#This Row],[BEGINNING BALANCE]]*(InterestRate/PaymentsPerYear),"")</f>
        <v>#VALUE!</v>
      </c>
      <c r="J221" s="14" t="s">
        <v>32</v>
      </c>
      <c r="K221" s="14" t="e">
        <f ca="1">IF(PaymentSchedule[[#This Row],[PMT NO]]&lt;&gt;"",SUM(INDEX(PaymentSchedule[INTEREST],1,1):PaymentSchedule[[#This Row],[INTEREST]]),"")</f>
        <v>#VALUE!</v>
      </c>
    </row>
    <row r="222" spans="2:11">
      <c r="B222" s="10">
        <f ca="1">IF(LoanIsGood,IF(ROW()-ROW(PaymentSchedule[[#Headers],[PMT NO]])&gt;ScheduledNumberOfPayments,"",ROW()-ROW(PaymentSchedule[[#Headers],[PMT NO]])),"")</f>
        <v>206</v>
      </c>
      <c r="C222" s="12">
        <f ca="1">IF(PaymentSchedule[[#This Row],[PMT NO]]&lt;&gt;"",EOMONTH(LoanStartDate,ROW(PaymentSchedule[[#This Row],[PMT NO]])-ROW(PaymentSchedule[[#Headers],[PMT NO]])-2)+DAY(LoanStartDate),"")</f>
        <v>52202</v>
      </c>
      <c r="D22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2" s="14">
        <f ca="1">IF(PaymentSchedule[[#This Row],[PMT NO]]&lt;&gt;"",ScheduledPayment,"")</f>
        <v>1073.6432460242781</v>
      </c>
      <c r="F2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2" s="14" t="e">
        <f ca="1">IF(PaymentSchedule[[#This Row],[PMT NO]]&lt;&gt;"",PaymentSchedule[[#This Row],[TOTAL PAYMENT]]-PaymentSchedule[[#This Row],[INTEREST]],"")</f>
        <v>#VALUE!</v>
      </c>
      <c r="I222" s="14" t="e">
        <f ca="1">IF(PaymentSchedule[[#This Row],[PMT NO]]&lt;&gt;"",PaymentSchedule[[#This Row],[BEGINNING BALANCE]]*(InterestRate/PaymentsPerYear),"")</f>
        <v>#VALUE!</v>
      </c>
      <c r="J222" s="14" t="s">
        <v>32</v>
      </c>
      <c r="K222" s="14" t="e">
        <f ca="1">IF(PaymentSchedule[[#This Row],[PMT NO]]&lt;&gt;"",SUM(INDEX(PaymentSchedule[INTEREST],1,1):PaymentSchedule[[#This Row],[INTEREST]]),"")</f>
        <v>#VALUE!</v>
      </c>
    </row>
    <row r="223" spans="2:11">
      <c r="B223" s="10">
        <f ca="1">IF(LoanIsGood,IF(ROW()-ROW(PaymentSchedule[[#Headers],[PMT NO]])&gt;ScheduledNumberOfPayments,"",ROW()-ROW(PaymentSchedule[[#Headers],[PMT NO]])),"")</f>
        <v>207</v>
      </c>
      <c r="C223" s="12">
        <f ca="1">IF(PaymentSchedule[[#This Row],[PMT NO]]&lt;&gt;"",EOMONTH(LoanStartDate,ROW(PaymentSchedule[[#This Row],[PMT NO]])-ROW(PaymentSchedule[[#Headers],[PMT NO]])-2)+DAY(LoanStartDate),"")</f>
        <v>52233</v>
      </c>
      <c r="D22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3" s="14">
        <f ca="1">IF(PaymentSchedule[[#This Row],[PMT NO]]&lt;&gt;"",ScheduledPayment,"")</f>
        <v>1073.6432460242781</v>
      </c>
      <c r="F2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3" s="14" t="e">
        <f ca="1">IF(PaymentSchedule[[#This Row],[PMT NO]]&lt;&gt;"",PaymentSchedule[[#This Row],[TOTAL PAYMENT]]-PaymentSchedule[[#This Row],[INTEREST]],"")</f>
        <v>#VALUE!</v>
      </c>
      <c r="I223" s="14" t="e">
        <f ca="1">IF(PaymentSchedule[[#This Row],[PMT NO]]&lt;&gt;"",PaymentSchedule[[#This Row],[BEGINNING BALANCE]]*(InterestRate/PaymentsPerYear),"")</f>
        <v>#VALUE!</v>
      </c>
      <c r="J223" s="14" t="s">
        <v>32</v>
      </c>
      <c r="K223" s="14" t="e">
        <f ca="1">IF(PaymentSchedule[[#This Row],[PMT NO]]&lt;&gt;"",SUM(INDEX(PaymentSchedule[INTEREST],1,1):PaymentSchedule[[#This Row],[INTEREST]]),"")</f>
        <v>#VALUE!</v>
      </c>
    </row>
    <row r="224" spans="2:11">
      <c r="B224" s="10">
        <f ca="1">IF(LoanIsGood,IF(ROW()-ROW(PaymentSchedule[[#Headers],[PMT NO]])&gt;ScheduledNumberOfPayments,"",ROW()-ROW(PaymentSchedule[[#Headers],[PMT NO]])),"")</f>
        <v>208</v>
      </c>
      <c r="C224" s="12">
        <f ca="1">IF(PaymentSchedule[[#This Row],[PMT NO]]&lt;&gt;"",EOMONTH(LoanStartDate,ROW(PaymentSchedule[[#This Row],[PMT NO]])-ROW(PaymentSchedule[[#Headers],[PMT NO]])-2)+DAY(LoanStartDate),"")</f>
        <v>52264</v>
      </c>
      <c r="D22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4" s="14">
        <f ca="1">IF(PaymentSchedule[[#This Row],[PMT NO]]&lt;&gt;"",ScheduledPayment,"")</f>
        <v>1073.6432460242781</v>
      </c>
      <c r="F2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4" s="14" t="e">
        <f ca="1">IF(PaymentSchedule[[#This Row],[PMT NO]]&lt;&gt;"",PaymentSchedule[[#This Row],[TOTAL PAYMENT]]-PaymentSchedule[[#This Row],[INTEREST]],"")</f>
        <v>#VALUE!</v>
      </c>
      <c r="I224" s="14" t="e">
        <f ca="1">IF(PaymentSchedule[[#This Row],[PMT NO]]&lt;&gt;"",PaymentSchedule[[#This Row],[BEGINNING BALANCE]]*(InterestRate/PaymentsPerYear),"")</f>
        <v>#VALUE!</v>
      </c>
      <c r="J224" s="14" t="s">
        <v>32</v>
      </c>
      <c r="K224" s="14" t="e">
        <f ca="1">IF(PaymentSchedule[[#This Row],[PMT NO]]&lt;&gt;"",SUM(INDEX(PaymentSchedule[INTEREST],1,1):PaymentSchedule[[#This Row],[INTEREST]]),"")</f>
        <v>#VALUE!</v>
      </c>
    </row>
    <row r="225" spans="2:11">
      <c r="B225" s="10">
        <f ca="1">IF(LoanIsGood,IF(ROW()-ROW(PaymentSchedule[[#Headers],[PMT NO]])&gt;ScheduledNumberOfPayments,"",ROW()-ROW(PaymentSchedule[[#Headers],[PMT NO]])),"")</f>
        <v>209</v>
      </c>
      <c r="C225" s="12">
        <f ca="1">IF(PaymentSchedule[[#This Row],[PMT NO]]&lt;&gt;"",EOMONTH(LoanStartDate,ROW(PaymentSchedule[[#This Row],[PMT NO]])-ROW(PaymentSchedule[[#Headers],[PMT NO]])-2)+DAY(LoanStartDate),"")</f>
        <v>52292</v>
      </c>
      <c r="D22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5" s="14">
        <f ca="1">IF(PaymentSchedule[[#This Row],[PMT NO]]&lt;&gt;"",ScheduledPayment,"")</f>
        <v>1073.6432460242781</v>
      </c>
      <c r="F2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5" s="14" t="e">
        <f ca="1">IF(PaymentSchedule[[#This Row],[PMT NO]]&lt;&gt;"",PaymentSchedule[[#This Row],[TOTAL PAYMENT]]-PaymentSchedule[[#This Row],[INTEREST]],"")</f>
        <v>#VALUE!</v>
      </c>
      <c r="I225" s="14" t="e">
        <f ca="1">IF(PaymentSchedule[[#This Row],[PMT NO]]&lt;&gt;"",PaymentSchedule[[#This Row],[BEGINNING BALANCE]]*(InterestRate/PaymentsPerYear),"")</f>
        <v>#VALUE!</v>
      </c>
      <c r="J225" s="14" t="s">
        <v>32</v>
      </c>
      <c r="K225" s="14" t="e">
        <f ca="1">IF(PaymentSchedule[[#This Row],[PMT NO]]&lt;&gt;"",SUM(INDEX(PaymentSchedule[INTEREST],1,1):PaymentSchedule[[#This Row],[INTEREST]]),"")</f>
        <v>#VALUE!</v>
      </c>
    </row>
    <row r="226" spans="2:11">
      <c r="B226" s="10">
        <f ca="1">IF(LoanIsGood,IF(ROW()-ROW(PaymentSchedule[[#Headers],[PMT NO]])&gt;ScheduledNumberOfPayments,"",ROW()-ROW(PaymentSchedule[[#Headers],[PMT NO]])),"")</f>
        <v>210</v>
      </c>
      <c r="C226" s="12">
        <f ca="1">IF(PaymentSchedule[[#This Row],[PMT NO]]&lt;&gt;"",EOMONTH(LoanStartDate,ROW(PaymentSchedule[[#This Row],[PMT NO]])-ROW(PaymentSchedule[[#Headers],[PMT NO]])-2)+DAY(LoanStartDate),"")</f>
        <v>52323</v>
      </c>
      <c r="D22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6" s="14">
        <f ca="1">IF(PaymentSchedule[[#This Row],[PMT NO]]&lt;&gt;"",ScheduledPayment,"")</f>
        <v>1073.6432460242781</v>
      </c>
      <c r="F2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6" s="14" t="e">
        <f ca="1">IF(PaymentSchedule[[#This Row],[PMT NO]]&lt;&gt;"",PaymentSchedule[[#This Row],[TOTAL PAYMENT]]-PaymentSchedule[[#This Row],[INTEREST]],"")</f>
        <v>#VALUE!</v>
      </c>
      <c r="I226" s="14" t="e">
        <f ca="1">IF(PaymentSchedule[[#This Row],[PMT NO]]&lt;&gt;"",PaymentSchedule[[#This Row],[BEGINNING BALANCE]]*(InterestRate/PaymentsPerYear),"")</f>
        <v>#VALUE!</v>
      </c>
      <c r="J226" s="14" t="s">
        <v>32</v>
      </c>
      <c r="K226" s="14" t="e">
        <f ca="1">IF(PaymentSchedule[[#This Row],[PMT NO]]&lt;&gt;"",SUM(INDEX(PaymentSchedule[INTEREST],1,1):PaymentSchedule[[#This Row],[INTEREST]]),"")</f>
        <v>#VALUE!</v>
      </c>
    </row>
    <row r="227" spans="2:11">
      <c r="B227" s="10">
        <f ca="1">IF(LoanIsGood,IF(ROW()-ROW(PaymentSchedule[[#Headers],[PMT NO]])&gt;ScheduledNumberOfPayments,"",ROW()-ROW(PaymentSchedule[[#Headers],[PMT NO]])),"")</f>
        <v>211</v>
      </c>
      <c r="C227" s="12">
        <f ca="1">IF(PaymentSchedule[[#This Row],[PMT NO]]&lt;&gt;"",EOMONTH(LoanStartDate,ROW(PaymentSchedule[[#This Row],[PMT NO]])-ROW(PaymentSchedule[[#Headers],[PMT NO]])-2)+DAY(LoanStartDate),"")</f>
        <v>52353</v>
      </c>
      <c r="D22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7" s="14">
        <f ca="1">IF(PaymentSchedule[[#This Row],[PMT NO]]&lt;&gt;"",ScheduledPayment,"")</f>
        <v>1073.6432460242781</v>
      </c>
      <c r="F2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7" s="14" t="e">
        <f ca="1">IF(PaymentSchedule[[#This Row],[PMT NO]]&lt;&gt;"",PaymentSchedule[[#This Row],[TOTAL PAYMENT]]-PaymentSchedule[[#This Row],[INTEREST]],"")</f>
        <v>#VALUE!</v>
      </c>
      <c r="I227" s="14" t="e">
        <f ca="1">IF(PaymentSchedule[[#This Row],[PMT NO]]&lt;&gt;"",PaymentSchedule[[#This Row],[BEGINNING BALANCE]]*(InterestRate/PaymentsPerYear),"")</f>
        <v>#VALUE!</v>
      </c>
      <c r="J227" s="14" t="s">
        <v>32</v>
      </c>
      <c r="K227" s="14" t="e">
        <f ca="1">IF(PaymentSchedule[[#This Row],[PMT NO]]&lt;&gt;"",SUM(INDEX(PaymentSchedule[INTEREST],1,1):PaymentSchedule[[#This Row],[INTEREST]]),"")</f>
        <v>#VALUE!</v>
      </c>
    </row>
    <row r="228" spans="2:11">
      <c r="B228" s="10">
        <f ca="1">IF(LoanIsGood,IF(ROW()-ROW(PaymentSchedule[[#Headers],[PMT NO]])&gt;ScheduledNumberOfPayments,"",ROW()-ROW(PaymentSchedule[[#Headers],[PMT NO]])),"")</f>
        <v>212</v>
      </c>
      <c r="C228" s="12">
        <f ca="1">IF(PaymentSchedule[[#This Row],[PMT NO]]&lt;&gt;"",EOMONTH(LoanStartDate,ROW(PaymentSchedule[[#This Row],[PMT NO]])-ROW(PaymentSchedule[[#Headers],[PMT NO]])-2)+DAY(LoanStartDate),"")</f>
        <v>52384</v>
      </c>
      <c r="D22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8" s="14">
        <f ca="1">IF(PaymentSchedule[[#This Row],[PMT NO]]&lt;&gt;"",ScheduledPayment,"")</f>
        <v>1073.6432460242781</v>
      </c>
      <c r="F2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8" s="14" t="e">
        <f ca="1">IF(PaymentSchedule[[#This Row],[PMT NO]]&lt;&gt;"",PaymentSchedule[[#This Row],[TOTAL PAYMENT]]-PaymentSchedule[[#This Row],[INTEREST]],"")</f>
        <v>#VALUE!</v>
      </c>
      <c r="I228" s="14" t="e">
        <f ca="1">IF(PaymentSchedule[[#This Row],[PMT NO]]&lt;&gt;"",PaymentSchedule[[#This Row],[BEGINNING BALANCE]]*(InterestRate/PaymentsPerYear),"")</f>
        <v>#VALUE!</v>
      </c>
      <c r="J228" s="14" t="s">
        <v>32</v>
      </c>
      <c r="K228" s="14" t="e">
        <f ca="1">IF(PaymentSchedule[[#This Row],[PMT NO]]&lt;&gt;"",SUM(INDEX(PaymentSchedule[INTEREST],1,1):PaymentSchedule[[#This Row],[INTEREST]]),"")</f>
        <v>#VALUE!</v>
      </c>
    </row>
    <row r="229" spans="2:11">
      <c r="B229" s="10">
        <f ca="1">IF(LoanIsGood,IF(ROW()-ROW(PaymentSchedule[[#Headers],[PMT NO]])&gt;ScheduledNumberOfPayments,"",ROW()-ROW(PaymentSchedule[[#Headers],[PMT NO]])),"")</f>
        <v>213</v>
      </c>
      <c r="C229" s="12">
        <f ca="1">IF(PaymentSchedule[[#This Row],[PMT NO]]&lt;&gt;"",EOMONTH(LoanStartDate,ROW(PaymentSchedule[[#This Row],[PMT NO]])-ROW(PaymentSchedule[[#Headers],[PMT NO]])-2)+DAY(LoanStartDate),"")</f>
        <v>52414</v>
      </c>
      <c r="D22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29" s="14">
        <f ca="1">IF(PaymentSchedule[[#This Row],[PMT NO]]&lt;&gt;"",ScheduledPayment,"")</f>
        <v>1073.6432460242781</v>
      </c>
      <c r="F2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2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29" s="14" t="e">
        <f ca="1">IF(PaymentSchedule[[#This Row],[PMT NO]]&lt;&gt;"",PaymentSchedule[[#This Row],[TOTAL PAYMENT]]-PaymentSchedule[[#This Row],[INTEREST]],"")</f>
        <v>#VALUE!</v>
      </c>
      <c r="I229" s="14" t="e">
        <f ca="1">IF(PaymentSchedule[[#This Row],[PMT NO]]&lt;&gt;"",PaymentSchedule[[#This Row],[BEGINNING BALANCE]]*(InterestRate/PaymentsPerYear),"")</f>
        <v>#VALUE!</v>
      </c>
      <c r="J229" s="14" t="s">
        <v>32</v>
      </c>
      <c r="K229" s="14" t="e">
        <f ca="1">IF(PaymentSchedule[[#This Row],[PMT NO]]&lt;&gt;"",SUM(INDEX(PaymentSchedule[INTEREST],1,1):PaymentSchedule[[#This Row],[INTEREST]]),"")</f>
        <v>#VALUE!</v>
      </c>
    </row>
    <row r="230" spans="2:11">
      <c r="B230" s="10">
        <f ca="1">IF(LoanIsGood,IF(ROW()-ROW(PaymentSchedule[[#Headers],[PMT NO]])&gt;ScheduledNumberOfPayments,"",ROW()-ROW(PaymentSchedule[[#Headers],[PMT NO]])),"")</f>
        <v>214</v>
      </c>
      <c r="C230" s="12">
        <f ca="1">IF(PaymentSchedule[[#This Row],[PMT NO]]&lt;&gt;"",EOMONTH(LoanStartDate,ROW(PaymentSchedule[[#This Row],[PMT NO]])-ROW(PaymentSchedule[[#Headers],[PMT NO]])-2)+DAY(LoanStartDate),"")</f>
        <v>52445</v>
      </c>
      <c r="D23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0" s="14">
        <f ca="1">IF(PaymentSchedule[[#This Row],[PMT NO]]&lt;&gt;"",ScheduledPayment,"")</f>
        <v>1073.6432460242781</v>
      </c>
      <c r="F2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0" s="14" t="e">
        <f ca="1">IF(PaymentSchedule[[#This Row],[PMT NO]]&lt;&gt;"",PaymentSchedule[[#This Row],[TOTAL PAYMENT]]-PaymentSchedule[[#This Row],[INTEREST]],"")</f>
        <v>#VALUE!</v>
      </c>
      <c r="I230" s="14" t="e">
        <f ca="1">IF(PaymentSchedule[[#This Row],[PMT NO]]&lt;&gt;"",PaymentSchedule[[#This Row],[BEGINNING BALANCE]]*(InterestRate/PaymentsPerYear),"")</f>
        <v>#VALUE!</v>
      </c>
      <c r="J230" s="14" t="s">
        <v>32</v>
      </c>
      <c r="K230" s="14" t="e">
        <f ca="1">IF(PaymentSchedule[[#This Row],[PMT NO]]&lt;&gt;"",SUM(INDEX(PaymentSchedule[INTEREST],1,1):PaymentSchedule[[#This Row],[INTEREST]]),"")</f>
        <v>#VALUE!</v>
      </c>
    </row>
    <row r="231" spans="2:11">
      <c r="B231" s="10">
        <f ca="1">IF(LoanIsGood,IF(ROW()-ROW(PaymentSchedule[[#Headers],[PMT NO]])&gt;ScheduledNumberOfPayments,"",ROW()-ROW(PaymentSchedule[[#Headers],[PMT NO]])),"")</f>
        <v>215</v>
      </c>
      <c r="C231" s="12">
        <f ca="1">IF(PaymentSchedule[[#This Row],[PMT NO]]&lt;&gt;"",EOMONTH(LoanStartDate,ROW(PaymentSchedule[[#This Row],[PMT NO]])-ROW(PaymentSchedule[[#Headers],[PMT NO]])-2)+DAY(LoanStartDate),"")</f>
        <v>52476</v>
      </c>
      <c r="D23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1" s="14">
        <f ca="1">IF(PaymentSchedule[[#This Row],[PMT NO]]&lt;&gt;"",ScheduledPayment,"")</f>
        <v>1073.6432460242781</v>
      </c>
      <c r="F2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1" s="14" t="e">
        <f ca="1">IF(PaymentSchedule[[#This Row],[PMT NO]]&lt;&gt;"",PaymentSchedule[[#This Row],[TOTAL PAYMENT]]-PaymentSchedule[[#This Row],[INTEREST]],"")</f>
        <v>#VALUE!</v>
      </c>
      <c r="I231" s="14" t="e">
        <f ca="1">IF(PaymentSchedule[[#This Row],[PMT NO]]&lt;&gt;"",PaymentSchedule[[#This Row],[BEGINNING BALANCE]]*(InterestRate/PaymentsPerYear),"")</f>
        <v>#VALUE!</v>
      </c>
      <c r="J231" s="14" t="s">
        <v>32</v>
      </c>
      <c r="K231" s="14" t="e">
        <f ca="1">IF(PaymentSchedule[[#This Row],[PMT NO]]&lt;&gt;"",SUM(INDEX(PaymentSchedule[INTEREST],1,1):PaymentSchedule[[#This Row],[INTEREST]]),"")</f>
        <v>#VALUE!</v>
      </c>
    </row>
    <row r="232" spans="2:11">
      <c r="B232" s="10">
        <f ca="1">IF(LoanIsGood,IF(ROW()-ROW(PaymentSchedule[[#Headers],[PMT NO]])&gt;ScheduledNumberOfPayments,"",ROW()-ROW(PaymentSchedule[[#Headers],[PMT NO]])),"")</f>
        <v>216</v>
      </c>
      <c r="C232" s="12">
        <f ca="1">IF(PaymentSchedule[[#This Row],[PMT NO]]&lt;&gt;"",EOMONTH(LoanStartDate,ROW(PaymentSchedule[[#This Row],[PMT NO]])-ROW(PaymentSchedule[[#Headers],[PMT NO]])-2)+DAY(LoanStartDate),"")</f>
        <v>52506</v>
      </c>
      <c r="D23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2" s="14">
        <f ca="1">IF(PaymentSchedule[[#This Row],[PMT NO]]&lt;&gt;"",ScheduledPayment,"")</f>
        <v>1073.6432460242781</v>
      </c>
      <c r="F2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2" s="14" t="e">
        <f ca="1">IF(PaymentSchedule[[#This Row],[PMT NO]]&lt;&gt;"",PaymentSchedule[[#This Row],[TOTAL PAYMENT]]-PaymentSchedule[[#This Row],[INTEREST]],"")</f>
        <v>#VALUE!</v>
      </c>
      <c r="I232" s="14" t="e">
        <f ca="1">IF(PaymentSchedule[[#This Row],[PMT NO]]&lt;&gt;"",PaymentSchedule[[#This Row],[BEGINNING BALANCE]]*(InterestRate/PaymentsPerYear),"")</f>
        <v>#VALUE!</v>
      </c>
      <c r="J232" s="14" t="s">
        <v>32</v>
      </c>
      <c r="K232" s="14" t="e">
        <f ca="1">IF(PaymentSchedule[[#This Row],[PMT NO]]&lt;&gt;"",SUM(INDEX(PaymentSchedule[INTEREST],1,1):PaymentSchedule[[#This Row],[INTEREST]]),"")</f>
        <v>#VALUE!</v>
      </c>
    </row>
    <row r="233" spans="2:11">
      <c r="B233" s="10">
        <f ca="1">IF(LoanIsGood,IF(ROW()-ROW(PaymentSchedule[[#Headers],[PMT NO]])&gt;ScheduledNumberOfPayments,"",ROW()-ROW(PaymentSchedule[[#Headers],[PMT NO]])),"")</f>
        <v>217</v>
      </c>
      <c r="C233" s="12">
        <f ca="1">IF(PaymentSchedule[[#This Row],[PMT NO]]&lt;&gt;"",EOMONTH(LoanStartDate,ROW(PaymentSchedule[[#This Row],[PMT NO]])-ROW(PaymentSchedule[[#Headers],[PMT NO]])-2)+DAY(LoanStartDate),"")</f>
        <v>52537</v>
      </c>
      <c r="D23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3" s="14">
        <f ca="1">IF(PaymentSchedule[[#This Row],[PMT NO]]&lt;&gt;"",ScheduledPayment,"")</f>
        <v>1073.6432460242781</v>
      </c>
      <c r="F2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3" s="14" t="e">
        <f ca="1">IF(PaymentSchedule[[#This Row],[PMT NO]]&lt;&gt;"",PaymentSchedule[[#This Row],[TOTAL PAYMENT]]-PaymentSchedule[[#This Row],[INTEREST]],"")</f>
        <v>#VALUE!</v>
      </c>
      <c r="I233" s="14" t="e">
        <f ca="1">IF(PaymentSchedule[[#This Row],[PMT NO]]&lt;&gt;"",PaymentSchedule[[#This Row],[BEGINNING BALANCE]]*(InterestRate/PaymentsPerYear),"")</f>
        <v>#VALUE!</v>
      </c>
      <c r="J233" s="14" t="s">
        <v>32</v>
      </c>
      <c r="K233" s="14" t="e">
        <f ca="1">IF(PaymentSchedule[[#This Row],[PMT NO]]&lt;&gt;"",SUM(INDEX(PaymentSchedule[INTEREST],1,1):PaymentSchedule[[#This Row],[INTEREST]]),"")</f>
        <v>#VALUE!</v>
      </c>
    </row>
    <row r="234" spans="2:11">
      <c r="B234" s="10">
        <f ca="1">IF(LoanIsGood,IF(ROW()-ROW(PaymentSchedule[[#Headers],[PMT NO]])&gt;ScheduledNumberOfPayments,"",ROW()-ROW(PaymentSchedule[[#Headers],[PMT NO]])),"")</f>
        <v>218</v>
      </c>
      <c r="C234" s="12">
        <f ca="1">IF(PaymentSchedule[[#This Row],[PMT NO]]&lt;&gt;"",EOMONTH(LoanStartDate,ROW(PaymentSchedule[[#This Row],[PMT NO]])-ROW(PaymentSchedule[[#Headers],[PMT NO]])-2)+DAY(LoanStartDate),"")</f>
        <v>52567</v>
      </c>
      <c r="D23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4" s="14">
        <f ca="1">IF(PaymentSchedule[[#This Row],[PMT NO]]&lt;&gt;"",ScheduledPayment,"")</f>
        <v>1073.6432460242781</v>
      </c>
      <c r="F2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4" s="14" t="e">
        <f ca="1">IF(PaymentSchedule[[#This Row],[PMT NO]]&lt;&gt;"",PaymentSchedule[[#This Row],[TOTAL PAYMENT]]-PaymentSchedule[[#This Row],[INTEREST]],"")</f>
        <v>#VALUE!</v>
      </c>
      <c r="I234" s="14" t="e">
        <f ca="1">IF(PaymentSchedule[[#This Row],[PMT NO]]&lt;&gt;"",PaymentSchedule[[#This Row],[BEGINNING BALANCE]]*(InterestRate/PaymentsPerYear),"")</f>
        <v>#VALUE!</v>
      </c>
      <c r="J234" s="14" t="s">
        <v>32</v>
      </c>
      <c r="K234" s="14" t="e">
        <f ca="1">IF(PaymentSchedule[[#This Row],[PMT NO]]&lt;&gt;"",SUM(INDEX(PaymentSchedule[INTEREST],1,1):PaymentSchedule[[#This Row],[INTEREST]]),"")</f>
        <v>#VALUE!</v>
      </c>
    </row>
    <row r="235" spans="2:11">
      <c r="B235" s="10">
        <f ca="1">IF(LoanIsGood,IF(ROW()-ROW(PaymentSchedule[[#Headers],[PMT NO]])&gt;ScheduledNumberOfPayments,"",ROW()-ROW(PaymentSchedule[[#Headers],[PMT NO]])),"")</f>
        <v>219</v>
      </c>
      <c r="C235" s="12">
        <f ca="1">IF(PaymentSchedule[[#This Row],[PMT NO]]&lt;&gt;"",EOMONTH(LoanStartDate,ROW(PaymentSchedule[[#This Row],[PMT NO]])-ROW(PaymentSchedule[[#Headers],[PMT NO]])-2)+DAY(LoanStartDate),"")</f>
        <v>52598</v>
      </c>
      <c r="D23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5" s="14">
        <f ca="1">IF(PaymentSchedule[[#This Row],[PMT NO]]&lt;&gt;"",ScheduledPayment,"")</f>
        <v>1073.6432460242781</v>
      </c>
      <c r="F2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5" s="14" t="e">
        <f ca="1">IF(PaymentSchedule[[#This Row],[PMT NO]]&lt;&gt;"",PaymentSchedule[[#This Row],[TOTAL PAYMENT]]-PaymentSchedule[[#This Row],[INTEREST]],"")</f>
        <v>#VALUE!</v>
      </c>
      <c r="I235" s="14" t="e">
        <f ca="1">IF(PaymentSchedule[[#This Row],[PMT NO]]&lt;&gt;"",PaymentSchedule[[#This Row],[BEGINNING BALANCE]]*(InterestRate/PaymentsPerYear),"")</f>
        <v>#VALUE!</v>
      </c>
      <c r="J235" s="14" t="s">
        <v>32</v>
      </c>
      <c r="K235" s="14" t="e">
        <f ca="1">IF(PaymentSchedule[[#This Row],[PMT NO]]&lt;&gt;"",SUM(INDEX(PaymentSchedule[INTEREST],1,1):PaymentSchedule[[#This Row],[INTEREST]]),"")</f>
        <v>#VALUE!</v>
      </c>
    </row>
    <row r="236" spans="2:11">
      <c r="B236" s="10">
        <f ca="1">IF(LoanIsGood,IF(ROW()-ROW(PaymentSchedule[[#Headers],[PMT NO]])&gt;ScheduledNumberOfPayments,"",ROW()-ROW(PaymentSchedule[[#Headers],[PMT NO]])),"")</f>
        <v>220</v>
      </c>
      <c r="C236" s="12">
        <f ca="1">IF(PaymentSchedule[[#This Row],[PMT NO]]&lt;&gt;"",EOMONTH(LoanStartDate,ROW(PaymentSchedule[[#This Row],[PMT NO]])-ROW(PaymentSchedule[[#Headers],[PMT NO]])-2)+DAY(LoanStartDate),"")</f>
        <v>52629</v>
      </c>
      <c r="D23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6" s="14">
        <f ca="1">IF(PaymentSchedule[[#This Row],[PMT NO]]&lt;&gt;"",ScheduledPayment,"")</f>
        <v>1073.6432460242781</v>
      </c>
      <c r="F2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6" s="14" t="e">
        <f ca="1">IF(PaymentSchedule[[#This Row],[PMT NO]]&lt;&gt;"",PaymentSchedule[[#This Row],[TOTAL PAYMENT]]-PaymentSchedule[[#This Row],[INTEREST]],"")</f>
        <v>#VALUE!</v>
      </c>
      <c r="I236" s="14" t="e">
        <f ca="1">IF(PaymentSchedule[[#This Row],[PMT NO]]&lt;&gt;"",PaymentSchedule[[#This Row],[BEGINNING BALANCE]]*(InterestRate/PaymentsPerYear),"")</f>
        <v>#VALUE!</v>
      </c>
      <c r="J236" s="14" t="s">
        <v>32</v>
      </c>
      <c r="K236" s="14" t="e">
        <f ca="1">IF(PaymentSchedule[[#This Row],[PMT NO]]&lt;&gt;"",SUM(INDEX(PaymentSchedule[INTEREST],1,1):PaymentSchedule[[#This Row],[INTEREST]]),"")</f>
        <v>#VALUE!</v>
      </c>
    </row>
    <row r="237" spans="2:11">
      <c r="B237" s="10">
        <f ca="1">IF(LoanIsGood,IF(ROW()-ROW(PaymentSchedule[[#Headers],[PMT NO]])&gt;ScheduledNumberOfPayments,"",ROW()-ROW(PaymentSchedule[[#Headers],[PMT NO]])),"")</f>
        <v>221</v>
      </c>
      <c r="C237" s="12">
        <f ca="1">IF(PaymentSchedule[[#This Row],[PMT NO]]&lt;&gt;"",EOMONTH(LoanStartDate,ROW(PaymentSchedule[[#This Row],[PMT NO]])-ROW(PaymentSchedule[[#Headers],[PMT NO]])-2)+DAY(LoanStartDate),"")</f>
        <v>52658</v>
      </c>
      <c r="D23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7" s="14">
        <f ca="1">IF(PaymentSchedule[[#This Row],[PMT NO]]&lt;&gt;"",ScheduledPayment,"")</f>
        <v>1073.6432460242781</v>
      </c>
      <c r="F2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7" s="14" t="e">
        <f ca="1">IF(PaymentSchedule[[#This Row],[PMT NO]]&lt;&gt;"",PaymentSchedule[[#This Row],[TOTAL PAYMENT]]-PaymentSchedule[[#This Row],[INTEREST]],"")</f>
        <v>#VALUE!</v>
      </c>
      <c r="I237" s="14" t="e">
        <f ca="1">IF(PaymentSchedule[[#This Row],[PMT NO]]&lt;&gt;"",PaymentSchedule[[#This Row],[BEGINNING BALANCE]]*(InterestRate/PaymentsPerYear),"")</f>
        <v>#VALUE!</v>
      </c>
      <c r="J237" s="14" t="s">
        <v>32</v>
      </c>
      <c r="K237" s="14" t="e">
        <f ca="1">IF(PaymentSchedule[[#This Row],[PMT NO]]&lt;&gt;"",SUM(INDEX(PaymentSchedule[INTEREST],1,1):PaymentSchedule[[#This Row],[INTEREST]]),"")</f>
        <v>#VALUE!</v>
      </c>
    </row>
    <row r="238" spans="2:11">
      <c r="B238" s="10">
        <f ca="1">IF(LoanIsGood,IF(ROW()-ROW(PaymentSchedule[[#Headers],[PMT NO]])&gt;ScheduledNumberOfPayments,"",ROW()-ROW(PaymentSchedule[[#Headers],[PMT NO]])),"")</f>
        <v>222</v>
      </c>
      <c r="C238" s="12">
        <f ca="1">IF(PaymentSchedule[[#This Row],[PMT NO]]&lt;&gt;"",EOMONTH(LoanStartDate,ROW(PaymentSchedule[[#This Row],[PMT NO]])-ROW(PaymentSchedule[[#Headers],[PMT NO]])-2)+DAY(LoanStartDate),"")</f>
        <v>52689</v>
      </c>
      <c r="D23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8" s="14">
        <f ca="1">IF(PaymentSchedule[[#This Row],[PMT NO]]&lt;&gt;"",ScheduledPayment,"")</f>
        <v>1073.6432460242781</v>
      </c>
      <c r="F2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8" s="14" t="e">
        <f ca="1">IF(PaymentSchedule[[#This Row],[PMT NO]]&lt;&gt;"",PaymentSchedule[[#This Row],[TOTAL PAYMENT]]-PaymentSchedule[[#This Row],[INTEREST]],"")</f>
        <v>#VALUE!</v>
      </c>
      <c r="I238" s="14" t="e">
        <f ca="1">IF(PaymentSchedule[[#This Row],[PMT NO]]&lt;&gt;"",PaymentSchedule[[#This Row],[BEGINNING BALANCE]]*(InterestRate/PaymentsPerYear),"")</f>
        <v>#VALUE!</v>
      </c>
      <c r="J238" s="14" t="s">
        <v>32</v>
      </c>
      <c r="K238" s="14" t="e">
        <f ca="1">IF(PaymentSchedule[[#This Row],[PMT NO]]&lt;&gt;"",SUM(INDEX(PaymentSchedule[INTEREST],1,1):PaymentSchedule[[#This Row],[INTEREST]]),"")</f>
        <v>#VALUE!</v>
      </c>
    </row>
    <row r="239" spans="2:11">
      <c r="B239" s="10">
        <f ca="1">IF(LoanIsGood,IF(ROW()-ROW(PaymentSchedule[[#Headers],[PMT NO]])&gt;ScheduledNumberOfPayments,"",ROW()-ROW(PaymentSchedule[[#Headers],[PMT NO]])),"")</f>
        <v>223</v>
      </c>
      <c r="C239" s="12">
        <f ca="1">IF(PaymentSchedule[[#This Row],[PMT NO]]&lt;&gt;"",EOMONTH(LoanStartDate,ROW(PaymentSchedule[[#This Row],[PMT NO]])-ROW(PaymentSchedule[[#Headers],[PMT NO]])-2)+DAY(LoanStartDate),"")</f>
        <v>52719</v>
      </c>
      <c r="D23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39" s="14">
        <f ca="1">IF(PaymentSchedule[[#This Row],[PMT NO]]&lt;&gt;"",ScheduledPayment,"")</f>
        <v>1073.6432460242781</v>
      </c>
      <c r="F2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3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39" s="14" t="e">
        <f ca="1">IF(PaymentSchedule[[#This Row],[PMT NO]]&lt;&gt;"",PaymentSchedule[[#This Row],[TOTAL PAYMENT]]-PaymentSchedule[[#This Row],[INTEREST]],"")</f>
        <v>#VALUE!</v>
      </c>
      <c r="I239" s="14" t="e">
        <f ca="1">IF(PaymentSchedule[[#This Row],[PMT NO]]&lt;&gt;"",PaymentSchedule[[#This Row],[BEGINNING BALANCE]]*(InterestRate/PaymentsPerYear),"")</f>
        <v>#VALUE!</v>
      </c>
      <c r="J239" s="14" t="s">
        <v>32</v>
      </c>
      <c r="K239" s="14" t="e">
        <f ca="1">IF(PaymentSchedule[[#This Row],[PMT NO]]&lt;&gt;"",SUM(INDEX(PaymentSchedule[INTEREST],1,1):PaymentSchedule[[#This Row],[INTEREST]]),"")</f>
        <v>#VALUE!</v>
      </c>
    </row>
    <row r="240" spans="2:11">
      <c r="B240" s="10">
        <f ca="1">IF(LoanIsGood,IF(ROW()-ROW(PaymentSchedule[[#Headers],[PMT NO]])&gt;ScheduledNumberOfPayments,"",ROW()-ROW(PaymentSchedule[[#Headers],[PMT NO]])),"")</f>
        <v>224</v>
      </c>
      <c r="C240" s="12">
        <f ca="1">IF(PaymentSchedule[[#This Row],[PMT NO]]&lt;&gt;"",EOMONTH(LoanStartDate,ROW(PaymentSchedule[[#This Row],[PMT NO]])-ROW(PaymentSchedule[[#Headers],[PMT NO]])-2)+DAY(LoanStartDate),"")</f>
        <v>52750</v>
      </c>
      <c r="D24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0" s="14">
        <f ca="1">IF(PaymentSchedule[[#This Row],[PMT NO]]&lt;&gt;"",ScheduledPayment,"")</f>
        <v>1073.6432460242781</v>
      </c>
      <c r="F2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0" s="14" t="e">
        <f ca="1">IF(PaymentSchedule[[#This Row],[PMT NO]]&lt;&gt;"",PaymentSchedule[[#This Row],[TOTAL PAYMENT]]-PaymentSchedule[[#This Row],[INTEREST]],"")</f>
        <v>#VALUE!</v>
      </c>
      <c r="I240" s="14" t="e">
        <f ca="1">IF(PaymentSchedule[[#This Row],[PMT NO]]&lt;&gt;"",PaymentSchedule[[#This Row],[BEGINNING BALANCE]]*(InterestRate/PaymentsPerYear),"")</f>
        <v>#VALUE!</v>
      </c>
      <c r="J240" s="14" t="s">
        <v>32</v>
      </c>
      <c r="K240" s="14" t="e">
        <f ca="1">IF(PaymentSchedule[[#This Row],[PMT NO]]&lt;&gt;"",SUM(INDEX(PaymentSchedule[INTEREST],1,1):PaymentSchedule[[#This Row],[INTEREST]]),"")</f>
        <v>#VALUE!</v>
      </c>
    </row>
    <row r="241" spans="2:11">
      <c r="B241" s="10">
        <f ca="1">IF(LoanIsGood,IF(ROW()-ROW(PaymentSchedule[[#Headers],[PMT NO]])&gt;ScheduledNumberOfPayments,"",ROW()-ROW(PaymentSchedule[[#Headers],[PMT NO]])),"")</f>
        <v>225</v>
      </c>
      <c r="C241" s="12">
        <f ca="1">IF(PaymentSchedule[[#This Row],[PMT NO]]&lt;&gt;"",EOMONTH(LoanStartDate,ROW(PaymentSchedule[[#This Row],[PMT NO]])-ROW(PaymentSchedule[[#Headers],[PMT NO]])-2)+DAY(LoanStartDate),"")</f>
        <v>52780</v>
      </c>
      <c r="D24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1" s="14">
        <f ca="1">IF(PaymentSchedule[[#This Row],[PMT NO]]&lt;&gt;"",ScheduledPayment,"")</f>
        <v>1073.6432460242781</v>
      </c>
      <c r="F2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1" s="14" t="e">
        <f ca="1">IF(PaymentSchedule[[#This Row],[PMT NO]]&lt;&gt;"",PaymentSchedule[[#This Row],[TOTAL PAYMENT]]-PaymentSchedule[[#This Row],[INTEREST]],"")</f>
        <v>#VALUE!</v>
      </c>
      <c r="I241" s="14" t="e">
        <f ca="1">IF(PaymentSchedule[[#This Row],[PMT NO]]&lt;&gt;"",PaymentSchedule[[#This Row],[BEGINNING BALANCE]]*(InterestRate/PaymentsPerYear),"")</f>
        <v>#VALUE!</v>
      </c>
      <c r="J241" s="14" t="s">
        <v>32</v>
      </c>
      <c r="K241" s="14" t="e">
        <f ca="1">IF(PaymentSchedule[[#This Row],[PMT NO]]&lt;&gt;"",SUM(INDEX(PaymentSchedule[INTEREST],1,1):PaymentSchedule[[#This Row],[INTEREST]]),"")</f>
        <v>#VALUE!</v>
      </c>
    </row>
    <row r="242" spans="2:11">
      <c r="B242" s="10">
        <f ca="1">IF(LoanIsGood,IF(ROW()-ROW(PaymentSchedule[[#Headers],[PMT NO]])&gt;ScheduledNumberOfPayments,"",ROW()-ROW(PaymentSchedule[[#Headers],[PMT NO]])),"")</f>
        <v>226</v>
      </c>
      <c r="C242" s="12">
        <f ca="1">IF(PaymentSchedule[[#This Row],[PMT NO]]&lt;&gt;"",EOMONTH(LoanStartDate,ROW(PaymentSchedule[[#This Row],[PMT NO]])-ROW(PaymentSchedule[[#Headers],[PMT NO]])-2)+DAY(LoanStartDate),"")</f>
        <v>52811</v>
      </c>
      <c r="D24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2" s="14">
        <f ca="1">IF(PaymentSchedule[[#This Row],[PMT NO]]&lt;&gt;"",ScheduledPayment,"")</f>
        <v>1073.6432460242781</v>
      </c>
      <c r="F2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2" s="14" t="e">
        <f ca="1">IF(PaymentSchedule[[#This Row],[PMT NO]]&lt;&gt;"",PaymentSchedule[[#This Row],[TOTAL PAYMENT]]-PaymentSchedule[[#This Row],[INTEREST]],"")</f>
        <v>#VALUE!</v>
      </c>
      <c r="I242" s="14" t="e">
        <f ca="1">IF(PaymentSchedule[[#This Row],[PMT NO]]&lt;&gt;"",PaymentSchedule[[#This Row],[BEGINNING BALANCE]]*(InterestRate/PaymentsPerYear),"")</f>
        <v>#VALUE!</v>
      </c>
      <c r="J242" s="14" t="s">
        <v>32</v>
      </c>
      <c r="K242" s="14" t="e">
        <f ca="1">IF(PaymentSchedule[[#This Row],[PMT NO]]&lt;&gt;"",SUM(INDEX(PaymentSchedule[INTEREST],1,1):PaymentSchedule[[#This Row],[INTEREST]]),"")</f>
        <v>#VALUE!</v>
      </c>
    </row>
    <row r="243" spans="2:11">
      <c r="B243" s="10">
        <f ca="1">IF(LoanIsGood,IF(ROW()-ROW(PaymentSchedule[[#Headers],[PMT NO]])&gt;ScheduledNumberOfPayments,"",ROW()-ROW(PaymentSchedule[[#Headers],[PMT NO]])),"")</f>
        <v>227</v>
      </c>
      <c r="C243" s="12">
        <f ca="1">IF(PaymentSchedule[[#This Row],[PMT NO]]&lt;&gt;"",EOMONTH(LoanStartDate,ROW(PaymentSchedule[[#This Row],[PMT NO]])-ROW(PaymentSchedule[[#Headers],[PMT NO]])-2)+DAY(LoanStartDate),"")</f>
        <v>52842</v>
      </c>
      <c r="D24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3" s="14">
        <f ca="1">IF(PaymentSchedule[[#This Row],[PMT NO]]&lt;&gt;"",ScheduledPayment,"")</f>
        <v>1073.6432460242781</v>
      </c>
      <c r="F2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3" s="14" t="e">
        <f ca="1">IF(PaymentSchedule[[#This Row],[PMT NO]]&lt;&gt;"",PaymentSchedule[[#This Row],[TOTAL PAYMENT]]-PaymentSchedule[[#This Row],[INTEREST]],"")</f>
        <v>#VALUE!</v>
      </c>
      <c r="I243" s="14" t="e">
        <f ca="1">IF(PaymentSchedule[[#This Row],[PMT NO]]&lt;&gt;"",PaymentSchedule[[#This Row],[BEGINNING BALANCE]]*(InterestRate/PaymentsPerYear),"")</f>
        <v>#VALUE!</v>
      </c>
      <c r="J243" s="14" t="s">
        <v>32</v>
      </c>
      <c r="K243" s="14" t="e">
        <f ca="1">IF(PaymentSchedule[[#This Row],[PMT NO]]&lt;&gt;"",SUM(INDEX(PaymentSchedule[INTEREST],1,1):PaymentSchedule[[#This Row],[INTEREST]]),"")</f>
        <v>#VALUE!</v>
      </c>
    </row>
    <row r="244" spans="2:11">
      <c r="B244" s="10">
        <f ca="1">IF(LoanIsGood,IF(ROW()-ROW(PaymentSchedule[[#Headers],[PMT NO]])&gt;ScheduledNumberOfPayments,"",ROW()-ROW(PaymentSchedule[[#Headers],[PMT NO]])),"")</f>
        <v>228</v>
      </c>
      <c r="C244" s="12">
        <f ca="1">IF(PaymentSchedule[[#This Row],[PMT NO]]&lt;&gt;"",EOMONTH(LoanStartDate,ROW(PaymentSchedule[[#This Row],[PMT NO]])-ROW(PaymentSchedule[[#Headers],[PMT NO]])-2)+DAY(LoanStartDate),"")</f>
        <v>52872</v>
      </c>
      <c r="D24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4" s="14">
        <f ca="1">IF(PaymentSchedule[[#This Row],[PMT NO]]&lt;&gt;"",ScheduledPayment,"")</f>
        <v>1073.6432460242781</v>
      </c>
      <c r="F2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4" s="14" t="e">
        <f ca="1">IF(PaymentSchedule[[#This Row],[PMT NO]]&lt;&gt;"",PaymentSchedule[[#This Row],[TOTAL PAYMENT]]-PaymentSchedule[[#This Row],[INTEREST]],"")</f>
        <v>#VALUE!</v>
      </c>
      <c r="I244" s="14" t="e">
        <f ca="1">IF(PaymentSchedule[[#This Row],[PMT NO]]&lt;&gt;"",PaymentSchedule[[#This Row],[BEGINNING BALANCE]]*(InterestRate/PaymentsPerYear),"")</f>
        <v>#VALUE!</v>
      </c>
      <c r="J244" s="14" t="s">
        <v>32</v>
      </c>
      <c r="K244" s="14" t="e">
        <f ca="1">IF(PaymentSchedule[[#This Row],[PMT NO]]&lt;&gt;"",SUM(INDEX(PaymentSchedule[INTEREST],1,1):PaymentSchedule[[#This Row],[INTEREST]]),"")</f>
        <v>#VALUE!</v>
      </c>
    </row>
    <row r="245" spans="2:11">
      <c r="B245" s="10">
        <f ca="1">IF(LoanIsGood,IF(ROW()-ROW(PaymentSchedule[[#Headers],[PMT NO]])&gt;ScheduledNumberOfPayments,"",ROW()-ROW(PaymentSchedule[[#Headers],[PMT NO]])),"")</f>
        <v>229</v>
      </c>
      <c r="C245" s="12">
        <f ca="1">IF(PaymentSchedule[[#This Row],[PMT NO]]&lt;&gt;"",EOMONTH(LoanStartDate,ROW(PaymentSchedule[[#This Row],[PMT NO]])-ROW(PaymentSchedule[[#Headers],[PMT NO]])-2)+DAY(LoanStartDate),"")</f>
        <v>52903</v>
      </c>
      <c r="D24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5" s="14">
        <f ca="1">IF(PaymentSchedule[[#This Row],[PMT NO]]&lt;&gt;"",ScheduledPayment,"")</f>
        <v>1073.6432460242781</v>
      </c>
      <c r="F2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5" s="14" t="e">
        <f ca="1">IF(PaymentSchedule[[#This Row],[PMT NO]]&lt;&gt;"",PaymentSchedule[[#This Row],[TOTAL PAYMENT]]-PaymentSchedule[[#This Row],[INTEREST]],"")</f>
        <v>#VALUE!</v>
      </c>
      <c r="I245" s="14" t="e">
        <f ca="1">IF(PaymentSchedule[[#This Row],[PMT NO]]&lt;&gt;"",PaymentSchedule[[#This Row],[BEGINNING BALANCE]]*(InterestRate/PaymentsPerYear),"")</f>
        <v>#VALUE!</v>
      </c>
      <c r="J245" s="14" t="s">
        <v>32</v>
      </c>
      <c r="K245" s="14" t="e">
        <f ca="1">IF(PaymentSchedule[[#This Row],[PMT NO]]&lt;&gt;"",SUM(INDEX(PaymentSchedule[INTEREST],1,1):PaymentSchedule[[#This Row],[INTEREST]]),"")</f>
        <v>#VALUE!</v>
      </c>
    </row>
    <row r="246" spans="2:11">
      <c r="B246" s="10">
        <f ca="1">IF(LoanIsGood,IF(ROW()-ROW(PaymentSchedule[[#Headers],[PMT NO]])&gt;ScheduledNumberOfPayments,"",ROW()-ROW(PaymentSchedule[[#Headers],[PMT NO]])),"")</f>
        <v>230</v>
      </c>
      <c r="C246" s="12">
        <f ca="1">IF(PaymentSchedule[[#This Row],[PMT NO]]&lt;&gt;"",EOMONTH(LoanStartDate,ROW(PaymentSchedule[[#This Row],[PMT NO]])-ROW(PaymentSchedule[[#Headers],[PMT NO]])-2)+DAY(LoanStartDate),"")</f>
        <v>52933</v>
      </c>
      <c r="D24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6" s="14">
        <f ca="1">IF(PaymentSchedule[[#This Row],[PMT NO]]&lt;&gt;"",ScheduledPayment,"")</f>
        <v>1073.6432460242781</v>
      </c>
      <c r="F2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6" s="14" t="e">
        <f ca="1">IF(PaymentSchedule[[#This Row],[PMT NO]]&lt;&gt;"",PaymentSchedule[[#This Row],[TOTAL PAYMENT]]-PaymentSchedule[[#This Row],[INTEREST]],"")</f>
        <v>#VALUE!</v>
      </c>
      <c r="I246" s="14" t="e">
        <f ca="1">IF(PaymentSchedule[[#This Row],[PMT NO]]&lt;&gt;"",PaymentSchedule[[#This Row],[BEGINNING BALANCE]]*(InterestRate/PaymentsPerYear),"")</f>
        <v>#VALUE!</v>
      </c>
      <c r="J246" s="14" t="s">
        <v>32</v>
      </c>
      <c r="K246" s="14" t="e">
        <f ca="1">IF(PaymentSchedule[[#This Row],[PMT NO]]&lt;&gt;"",SUM(INDEX(PaymentSchedule[INTEREST],1,1):PaymentSchedule[[#This Row],[INTEREST]]),"")</f>
        <v>#VALUE!</v>
      </c>
    </row>
    <row r="247" spans="2:11">
      <c r="B247" s="10">
        <f ca="1">IF(LoanIsGood,IF(ROW()-ROW(PaymentSchedule[[#Headers],[PMT NO]])&gt;ScheduledNumberOfPayments,"",ROW()-ROW(PaymentSchedule[[#Headers],[PMT NO]])),"")</f>
        <v>231</v>
      </c>
      <c r="C247" s="12">
        <f ca="1">IF(PaymentSchedule[[#This Row],[PMT NO]]&lt;&gt;"",EOMONTH(LoanStartDate,ROW(PaymentSchedule[[#This Row],[PMT NO]])-ROW(PaymentSchedule[[#Headers],[PMT NO]])-2)+DAY(LoanStartDate),"")</f>
        <v>52964</v>
      </c>
      <c r="D24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7" s="14">
        <f ca="1">IF(PaymentSchedule[[#This Row],[PMT NO]]&lt;&gt;"",ScheduledPayment,"")</f>
        <v>1073.6432460242781</v>
      </c>
      <c r="F2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7" s="14" t="e">
        <f ca="1">IF(PaymentSchedule[[#This Row],[PMT NO]]&lt;&gt;"",PaymentSchedule[[#This Row],[TOTAL PAYMENT]]-PaymentSchedule[[#This Row],[INTEREST]],"")</f>
        <v>#VALUE!</v>
      </c>
      <c r="I247" s="14" t="e">
        <f ca="1">IF(PaymentSchedule[[#This Row],[PMT NO]]&lt;&gt;"",PaymentSchedule[[#This Row],[BEGINNING BALANCE]]*(InterestRate/PaymentsPerYear),"")</f>
        <v>#VALUE!</v>
      </c>
      <c r="J247" s="14" t="s">
        <v>32</v>
      </c>
      <c r="K247" s="14" t="e">
        <f ca="1">IF(PaymentSchedule[[#This Row],[PMT NO]]&lt;&gt;"",SUM(INDEX(PaymentSchedule[INTEREST],1,1):PaymentSchedule[[#This Row],[INTEREST]]),"")</f>
        <v>#VALUE!</v>
      </c>
    </row>
    <row r="248" spans="2:11">
      <c r="B248" s="10">
        <f ca="1">IF(LoanIsGood,IF(ROW()-ROW(PaymentSchedule[[#Headers],[PMT NO]])&gt;ScheduledNumberOfPayments,"",ROW()-ROW(PaymentSchedule[[#Headers],[PMT NO]])),"")</f>
        <v>232</v>
      </c>
      <c r="C248" s="12">
        <f ca="1">IF(PaymentSchedule[[#This Row],[PMT NO]]&lt;&gt;"",EOMONTH(LoanStartDate,ROW(PaymentSchedule[[#This Row],[PMT NO]])-ROW(PaymentSchedule[[#Headers],[PMT NO]])-2)+DAY(LoanStartDate),"")</f>
        <v>52995</v>
      </c>
      <c r="D24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8" s="14">
        <f ca="1">IF(PaymentSchedule[[#This Row],[PMT NO]]&lt;&gt;"",ScheduledPayment,"")</f>
        <v>1073.6432460242781</v>
      </c>
      <c r="F2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8" s="14" t="e">
        <f ca="1">IF(PaymentSchedule[[#This Row],[PMT NO]]&lt;&gt;"",PaymentSchedule[[#This Row],[TOTAL PAYMENT]]-PaymentSchedule[[#This Row],[INTEREST]],"")</f>
        <v>#VALUE!</v>
      </c>
      <c r="I248" s="14" t="e">
        <f ca="1">IF(PaymentSchedule[[#This Row],[PMT NO]]&lt;&gt;"",PaymentSchedule[[#This Row],[BEGINNING BALANCE]]*(InterestRate/PaymentsPerYear),"")</f>
        <v>#VALUE!</v>
      </c>
      <c r="J248" s="14" t="s">
        <v>32</v>
      </c>
      <c r="K248" s="14" t="e">
        <f ca="1">IF(PaymentSchedule[[#This Row],[PMT NO]]&lt;&gt;"",SUM(INDEX(PaymentSchedule[INTEREST],1,1):PaymentSchedule[[#This Row],[INTEREST]]),"")</f>
        <v>#VALUE!</v>
      </c>
    </row>
    <row r="249" spans="2:11">
      <c r="B249" s="10">
        <f ca="1">IF(LoanIsGood,IF(ROW()-ROW(PaymentSchedule[[#Headers],[PMT NO]])&gt;ScheduledNumberOfPayments,"",ROW()-ROW(PaymentSchedule[[#Headers],[PMT NO]])),"")</f>
        <v>233</v>
      </c>
      <c r="C249" s="12">
        <f ca="1">IF(PaymentSchedule[[#This Row],[PMT NO]]&lt;&gt;"",EOMONTH(LoanStartDate,ROW(PaymentSchedule[[#This Row],[PMT NO]])-ROW(PaymentSchedule[[#Headers],[PMT NO]])-2)+DAY(LoanStartDate),"")</f>
        <v>53023</v>
      </c>
      <c r="D24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49" s="14">
        <f ca="1">IF(PaymentSchedule[[#This Row],[PMT NO]]&lt;&gt;"",ScheduledPayment,"")</f>
        <v>1073.6432460242781</v>
      </c>
      <c r="F2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4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49" s="14" t="e">
        <f ca="1">IF(PaymentSchedule[[#This Row],[PMT NO]]&lt;&gt;"",PaymentSchedule[[#This Row],[TOTAL PAYMENT]]-PaymentSchedule[[#This Row],[INTEREST]],"")</f>
        <v>#VALUE!</v>
      </c>
      <c r="I249" s="14" t="e">
        <f ca="1">IF(PaymentSchedule[[#This Row],[PMT NO]]&lt;&gt;"",PaymentSchedule[[#This Row],[BEGINNING BALANCE]]*(InterestRate/PaymentsPerYear),"")</f>
        <v>#VALUE!</v>
      </c>
      <c r="J249" s="14" t="s">
        <v>32</v>
      </c>
      <c r="K249" s="14" t="e">
        <f ca="1">IF(PaymentSchedule[[#This Row],[PMT NO]]&lt;&gt;"",SUM(INDEX(PaymentSchedule[INTEREST],1,1):PaymentSchedule[[#This Row],[INTEREST]]),"")</f>
        <v>#VALUE!</v>
      </c>
    </row>
    <row r="250" spans="2:11">
      <c r="B250" s="10">
        <f ca="1">IF(LoanIsGood,IF(ROW()-ROW(PaymentSchedule[[#Headers],[PMT NO]])&gt;ScheduledNumberOfPayments,"",ROW()-ROW(PaymentSchedule[[#Headers],[PMT NO]])),"")</f>
        <v>234</v>
      </c>
      <c r="C250" s="12">
        <f ca="1">IF(PaymentSchedule[[#This Row],[PMT NO]]&lt;&gt;"",EOMONTH(LoanStartDate,ROW(PaymentSchedule[[#This Row],[PMT NO]])-ROW(PaymentSchedule[[#Headers],[PMT NO]])-2)+DAY(LoanStartDate),"")</f>
        <v>53054</v>
      </c>
      <c r="D25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0" s="14">
        <f ca="1">IF(PaymentSchedule[[#This Row],[PMT NO]]&lt;&gt;"",ScheduledPayment,"")</f>
        <v>1073.6432460242781</v>
      </c>
      <c r="F2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0" s="14" t="e">
        <f ca="1">IF(PaymentSchedule[[#This Row],[PMT NO]]&lt;&gt;"",PaymentSchedule[[#This Row],[TOTAL PAYMENT]]-PaymentSchedule[[#This Row],[INTEREST]],"")</f>
        <v>#VALUE!</v>
      </c>
      <c r="I250" s="14" t="e">
        <f ca="1">IF(PaymentSchedule[[#This Row],[PMT NO]]&lt;&gt;"",PaymentSchedule[[#This Row],[BEGINNING BALANCE]]*(InterestRate/PaymentsPerYear),"")</f>
        <v>#VALUE!</v>
      </c>
      <c r="J250" s="14" t="s">
        <v>32</v>
      </c>
      <c r="K250" s="14" t="e">
        <f ca="1">IF(PaymentSchedule[[#This Row],[PMT NO]]&lt;&gt;"",SUM(INDEX(PaymentSchedule[INTEREST],1,1):PaymentSchedule[[#This Row],[INTEREST]]),"")</f>
        <v>#VALUE!</v>
      </c>
    </row>
    <row r="251" spans="2:11">
      <c r="B251" s="10">
        <f ca="1">IF(LoanIsGood,IF(ROW()-ROW(PaymentSchedule[[#Headers],[PMT NO]])&gt;ScheduledNumberOfPayments,"",ROW()-ROW(PaymentSchedule[[#Headers],[PMT NO]])),"")</f>
        <v>235</v>
      </c>
      <c r="C251" s="12">
        <f ca="1">IF(PaymentSchedule[[#This Row],[PMT NO]]&lt;&gt;"",EOMONTH(LoanStartDate,ROW(PaymentSchedule[[#This Row],[PMT NO]])-ROW(PaymentSchedule[[#Headers],[PMT NO]])-2)+DAY(LoanStartDate),"")</f>
        <v>53084</v>
      </c>
      <c r="D25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1" s="14">
        <f ca="1">IF(PaymentSchedule[[#This Row],[PMT NO]]&lt;&gt;"",ScheduledPayment,"")</f>
        <v>1073.6432460242781</v>
      </c>
      <c r="F2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1" s="14" t="e">
        <f ca="1">IF(PaymentSchedule[[#This Row],[PMT NO]]&lt;&gt;"",PaymentSchedule[[#This Row],[TOTAL PAYMENT]]-PaymentSchedule[[#This Row],[INTEREST]],"")</f>
        <v>#VALUE!</v>
      </c>
      <c r="I251" s="14" t="e">
        <f ca="1">IF(PaymentSchedule[[#This Row],[PMT NO]]&lt;&gt;"",PaymentSchedule[[#This Row],[BEGINNING BALANCE]]*(InterestRate/PaymentsPerYear),"")</f>
        <v>#VALUE!</v>
      </c>
      <c r="J251" s="14" t="s">
        <v>32</v>
      </c>
      <c r="K251" s="14" t="e">
        <f ca="1">IF(PaymentSchedule[[#This Row],[PMT NO]]&lt;&gt;"",SUM(INDEX(PaymentSchedule[INTEREST],1,1):PaymentSchedule[[#This Row],[INTEREST]]),"")</f>
        <v>#VALUE!</v>
      </c>
    </row>
    <row r="252" spans="2:11">
      <c r="B252" s="10">
        <f ca="1">IF(LoanIsGood,IF(ROW()-ROW(PaymentSchedule[[#Headers],[PMT NO]])&gt;ScheduledNumberOfPayments,"",ROW()-ROW(PaymentSchedule[[#Headers],[PMT NO]])),"")</f>
        <v>236</v>
      </c>
      <c r="C252" s="12">
        <f ca="1">IF(PaymentSchedule[[#This Row],[PMT NO]]&lt;&gt;"",EOMONTH(LoanStartDate,ROW(PaymentSchedule[[#This Row],[PMT NO]])-ROW(PaymentSchedule[[#Headers],[PMT NO]])-2)+DAY(LoanStartDate),"")</f>
        <v>53115</v>
      </c>
      <c r="D25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2" s="14">
        <f ca="1">IF(PaymentSchedule[[#This Row],[PMT NO]]&lt;&gt;"",ScheduledPayment,"")</f>
        <v>1073.6432460242781</v>
      </c>
      <c r="F2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2" s="14" t="e">
        <f ca="1">IF(PaymentSchedule[[#This Row],[PMT NO]]&lt;&gt;"",PaymentSchedule[[#This Row],[TOTAL PAYMENT]]-PaymentSchedule[[#This Row],[INTEREST]],"")</f>
        <v>#VALUE!</v>
      </c>
      <c r="I252" s="14" t="e">
        <f ca="1">IF(PaymentSchedule[[#This Row],[PMT NO]]&lt;&gt;"",PaymentSchedule[[#This Row],[BEGINNING BALANCE]]*(InterestRate/PaymentsPerYear),"")</f>
        <v>#VALUE!</v>
      </c>
      <c r="J252" s="14" t="s">
        <v>32</v>
      </c>
      <c r="K252" s="14" t="e">
        <f ca="1">IF(PaymentSchedule[[#This Row],[PMT NO]]&lt;&gt;"",SUM(INDEX(PaymentSchedule[INTEREST],1,1):PaymentSchedule[[#This Row],[INTEREST]]),"")</f>
        <v>#VALUE!</v>
      </c>
    </row>
    <row r="253" spans="2:11">
      <c r="B253" s="10">
        <f ca="1">IF(LoanIsGood,IF(ROW()-ROW(PaymentSchedule[[#Headers],[PMT NO]])&gt;ScheduledNumberOfPayments,"",ROW()-ROW(PaymentSchedule[[#Headers],[PMT NO]])),"")</f>
        <v>237</v>
      </c>
      <c r="C253" s="12">
        <f ca="1">IF(PaymentSchedule[[#This Row],[PMT NO]]&lt;&gt;"",EOMONTH(LoanStartDate,ROW(PaymentSchedule[[#This Row],[PMT NO]])-ROW(PaymentSchedule[[#Headers],[PMT NO]])-2)+DAY(LoanStartDate),"")</f>
        <v>53145</v>
      </c>
      <c r="D25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3" s="14">
        <f ca="1">IF(PaymentSchedule[[#This Row],[PMT NO]]&lt;&gt;"",ScheduledPayment,"")</f>
        <v>1073.6432460242781</v>
      </c>
      <c r="F2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3" s="14" t="e">
        <f ca="1">IF(PaymentSchedule[[#This Row],[PMT NO]]&lt;&gt;"",PaymentSchedule[[#This Row],[TOTAL PAYMENT]]-PaymentSchedule[[#This Row],[INTEREST]],"")</f>
        <v>#VALUE!</v>
      </c>
      <c r="I253" s="14" t="e">
        <f ca="1">IF(PaymentSchedule[[#This Row],[PMT NO]]&lt;&gt;"",PaymentSchedule[[#This Row],[BEGINNING BALANCE]]*(InterestRate/PaymentsPerYear),"")</f>
        <v>#VALUE!</v>
      </c>
      <c r="J253" s="14" t="s">
        <v>32</v>
      </c>
      <c r="K253" s="14" t="e">
        <f ca="1">IF(PaymentSchedule[[#This Row],[PMT NO]]&lt;&gt;"",SUM(INDEX(PaymentSchedule[INTEREST],1,1):PaymentSchedule[[#This Row],[INTEREST]]),"")</f>
        <v>#VALUE!</v>
      </c>
    </row>
    <row r="254" spans="2:11">
      <c r="B254" s="10">
        <f ca="1">IF(LoanIsGood,IF(ROW()-ROW(PaymentSchedule[[#Headers],[PMT NO]])&gt;ScheduledNumberOfPayments,"",ROW()-ROW(PaymentSchedule[[#Headers],[PMT NO]])),"")</f>
        <v>238</v>
      </c>
      <c r="C254" s="12">
        <f ca="1">IF(PaymentSchedule[[#This Row],[PMT NO]]&lt;&gt;"",EOMONTH(LoanStartDate,ROW(PaymentSchedule[[#This Row],[PMT NO]])-ROW(PaymentSchedule[[#Headers],[PMT NO]])-2)+DAY(LoanStartDate),"")</f>
        <v>53176</v>
      </c>
      <c r="D25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4" s="14">
        <f ca="1">IF(PaymentSchedule[[#This Row],[PMT NO]]&lt;&gt;"",ScheduledPayment,"")</f>
        <v>1073.6432460242781</v>
      </c>
      <c r="F2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4" s="14" t="e">
        <f ca="1">IF(PaymentSchedule[[#This Row],[PMT NO]]&lt;&gt;"",PaymentSchedule[[#This Row],[TOTAL PAYMENT]]-PaymentSchedule[[#This Row],[INTEREST]],"")</f>
        <v>#VALUE!</v>
      </c>
      <c r="I254" s="14" t="e">
        <f ca="1">IF(PaymentSchedule[[#This Row],[PMT NO]]&lt;&gt;"",PaymentSchedule[[#This Row],[BEGINNING BALANCE]]*(InterestRate/PaymentsPerYear),"")</f>
        <v>#VALUE!</v>
      </c>
      <c r="J254" s="14" t="s">
        <v>32</v>
      </c>
      <c r="K254" s="14" t="e">
        <f ca="1">IF(PaymentSchedule[[#This Row],[PMT NO]]&lt;&gt;"",SUM(INDEX(PaymentSchedule[INTEREST],1,1):PaymentSchedule[[#This Row],[INTEREST]]),"")</f>
        <v>#VALUE!</v>
      </c>
    </row>
    <row r="255" spans="2:11">
      <c r="B255" s="10">
        <f ca="1">IF(LoanIsGood,IF(ROW()-ROW(PaymentSchedule[[#Headers],[PMT NO]])&gt;ScheduledNumberOfPayments,"",ROW()-ROW(PaymentSchedule[[#Headers],[PMT NO]])),"")</f>
        <v>239</v>
      </c>
      <c r="C255" s="12">
        <f ca="1">IF(PaymentSchedule[[#This Row],[PMT NO]]&lt;&gt;"",EOMONTH(LoanStartDate,ROW(PaymentSchedule[[#This Row],[PMT NO]])-ROW(PaymentSchedule[[#Headers],[PMT NO]])-2)+DAY(LoanStartDate),"")</f>
        <v>53207</v>
      </c>
      <c r="D25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5" s="14">
        <f ca="1">IF(PaymentSchedule[[#This Row],[PMT NO]]&lt;&gt;"",ScheduledPayment,"")</f>
        <v>1073.6432460242781</v>
      </c>
      <c r="F2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5" s="14" t="e">
        <f ca="1">IF(PaymentSchedule[[#This Row],[PMT NO]]&lt;&gt;"",PaymentSchedule[[#This Row],[TOTAL PAYMENT]]-PaymentSchedule[[#This Row],[INTEREST]],"")</f>
        <v>#VALUE!</v>
      </c>
      <c r="I255" s="14" t="e">
        <f ca="1">IF(PaymentSchedule[[#This Row],[PMT NO]]&lt;&gt;"",PaymentSchedule[[#This Row],[BEGINNING BALANCE]]*(InterestRate/PaymentsPerYear),"")</f>
        <v>#VALUE!</v>
      </c>
      <c r="J255" s="14" t="s">
        <v>32</v>
      </c>
      <c r="K255" s="14" t="e">
        <f ca="1">IF(PaymentSchedule[[#This Row],[PMT NO]]&lt;&gt;"",SUM(INDEX(PaymentSchedule[INTEREST],1,1):PaymentSchedule[[#This Row],[INTEREST]]),"")</f>
        <v>#VALUE!</v>
      </c>
    </row>
    <row r="256" spans="2:11">
      <c r="B256" s="10">
        <f ca="1">IF(LoanIsGood,IF(ROW()-ROW(PaymentSchedule[[#Headers],[PMT NO]])&gt;ScheduledNumberOfPayments,"",ROW()-ROW(PaymentSchedule[[#Headers],[PMT NO]])),"")</f>
        <v>240</v>
      </c>
      <c r="C256" s="12">
        <f ca="1">IF(PaymentSchedule[[#This Row],[PMT NO]]&lt;&gt;"",EOMONTH(LoanStartDate,ROW(PaymentSchedule[[#This Row],[PMT NO]])-ROW(PaymentSchedule[[#Headers],[PMT NO]])-2)+DAY(LoanStartDate),"")</f>
        <v>53237</v>
      </c>
      <c r="D25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6" s="14">
        <f ca="1">IF(PaymentSchedule[[#This Row],[PMT NO]]&lt;&gt;"",ScheduledPayment,"")</f>
        <v>1073.6432460242781</v>
      </c>
      <c r="F2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6" s="14" t="e">
        <f ca="1">IF(PaymentSchedule[[#This Row],[PMT NO]]&lt;&gt;"",PaymentSchedule[[#This Row],[TOTAL PAYMENT]]-PaymentSchedule[[#This Row],[INTEREST]],"")</f>
        <v>#VALUE!</v>
      </c>
      <c r="I256" s="14" t="e">
        <f ca="1">IF(PaymentSchedule[[#This Row],[PMT NO]]&lt;&gt;"",PaymentSchedule[[#This Row],[BEGINNING BALANCE]]*(InterestRate/PaymentsPerYear),"")</f>
        <v>#VALUE!</v>
      </c>
      <c r="J256" s="14" t="s">
        <v>32</v>
      </c>
      <c r="K256" s="14" t="e">
        <f ca="1">IF(PaymentSchedule[[#This Row],[PMT NO]]&lt;&gt;"",SUM(INDEX(PaymentSchedule[INTEREST],1,1):PaymentSchedule[[#This Row],[INTEREST]]),"")</f>
        <v>#VALUE!</v>
      </c>
    </row>
    <row r="257" spans="2:11">
      <c r="B257" s="10">
        <f ca="1">IF(LoanIsGood,IF(ROW()-ROW(PaymentSchedule[[#Headers],[PMT NO]])&gt;ScheduledNumberOfPayments,"",ROW()-ROW(PaymentSchedule[[#Headers],[PMT NO]])),"")</f>
        <v>241</v>
      </c>
      <c r="C257" s="12">
        <f ca="1">IF(PaymentSchedule[[#This Row],[PMT NO]]&lt;&gt;"",EOMONTH(LoanStartDate,ROW(PaymentSchedule[[#This Row],[PMT NO]])-ROW(PaymentSchedule[[#Headers],[PMT NO]])-2)+DAY(LoanStartDate),"")</f>
        <v>53268</v>
      </c>
      <c r="D25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7" s="14">
        <f ca="1">IF(PaymentSchedule[[#This Row],[PMT NO]]&lt;&gt;"",ScheduledPayment,"")</f>
        <v>1073.6432460242781</v>
      </c>
      <c r="F2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7" s="14" t="e">
        <f ca="1">IF(PaymentSchedule[[#This Row],[PMT NO]]&lt;&gt;"",PaymentSchedule[[#This Row],[TOTAL PAYMENT]]-PaymentSchedule[[#This Row],[INTEREST]],"")</f>
        <v>#VALUE!</v>
      </c>
      <c r="I257" s="14" t="e">
        <f ca="1">IF(PaymentSchedule[[#This Row],[PMT NO]]&lt;&gt;"",PaymentSchedule[[#This Row],[BEGINNING BALANCE]]*(InterestRate/PaymentsPerYear),"")</f>
        <v>#VALUE!</v>
      </c>
      <c r="J257" s="14" t="s">
        <v>32</v>
      </c>
      <c r="K257" s="14" t="e">
        <f ca="1">IF(PaymentSchedule[[#This Row],[PMT NO]]&lt;&gt;"",SUM(INDEX(PaymentSchedule[INTEREST],1,1):PaymentSchedule[[#This Row],[INTEREST]]),"")</f>
        <v>#VALUE!</v>
      </c>
    </row>
    <row r="258" spans="2:11">
      <c r="B258" s="10">
        <f ca="1">IF(LoanIsGood,IF(ROW()-ROW(PaymentSchedule[[#Headers],[PMT NO]])&gt;ScheduledNumberOfPayments,"",ROW()-ROW(PaymentSchedule[[#Headers],[PMT NO]])),"")</f>
        <v>242</v>
      </c>
      <c r="C258" s="12">
        <f ca="1">IF(PaymentSchedule[[#This Row],[PMT NO]]&lt;&gt;"",EOMONTH(LoanStartDate,ROW(PaymentSchedule[[#This Row],[PMT NO]])-ROW(PaymentSchedule[[#Headers],[PMT NO]])-2)+DAY(LoanStartDate),"")</f>
        <v>53298</v>
      </c>
      <c r="D25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8" s="14">
        <f ca="1">IF(PaymentSchedule[[#This Row],[PMT NO]]&lt;&gt;"",ScheduledPayment,"")</f>
        <v>1073.6432460242781</v>
      </c>
      <c r="F2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8" s="14" t="e">
        <f ca="1">IF(PaymentSchedule[[#This Row],[PMT NO]]&lt;&gt;"",PaymentSchedule[[#This Row],[TOTAL PAYMENT]]-PaymentSchedule[[#This Row],[INTEREST]],"")</f>
        <v>#VALUE!</v>
      </c>
      <c r="I258" s="14" t="e">
        <f ca="1">IF(PaymentSchedule[[#This Row],[PMT NO]]&lt;&gt;"",PaymentSchedule[[#This Row],[BEGINNING BALANCE]]*(InterestRate/PaymentsPerYear),"")</f>
        <v>#VALUE!</v>
      </c>
      <c r="J258" s="14" t="s">
        <v>32</v>
      </c>
      <c r="K258" s="14" t="e">
        <f ca="1">IF(PaymentSchedule[[#This Row],[PMT NO]]&lt;&gt;"",SUM(INDEX(PaymentSchedule[INTEREST],1,1):PaymentSchedule[[#This Row],[INTEREST]]),"")</f>
        <v>#VALUE!</v>
      </c>
    </row>
    <row r="259" spans="2:11">
      <c r="B259" s="10">
        <f ca="1">IF(LoanIsGood,IF(ROW()-ROW(PaymentSchedule[[#Headers],[PMT NO]])&gt;ScheduledNumberOfPayments,"",ROW()-ROW(PaymentSchedule[[#Headers],[PMT NO]])),"")</f>
        <v>243</v>
      </c>
      <c r="C259" s="12">
        <f ca="1">IF(PaymentSchedule[[#This Row],[PMT NO]]&lt;&gt;"",EOMONTH(LoanStartDate,ROW(PaymentSchedule[[#This Row],[PMT NO]])-ROW(PaymentSchedule[[#Headers],[PMT NO]])-2)+DAY(LoanStartDate),"")</f>
        <v>53329</v>
      </c>
      <c r="D25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59" s="14">
        <f ca="1">IF(PaymentSchedule[[#This Row],[PMT NO]]&lt;&gt;"",ScheduledPayment,"")</f>
        <v>1073.6432460242781</v>
      </c>
      <c r="F2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5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59" s="14" t="e">
        <f ca="1">IF(PaymentSchedule[[#This Row],[PMT NO]]&lt;&gt;"",PaymentSchedule[[#This Row],[TOTAL PAYMENT]]-PaymentSchedule[[#This Row],[INTEREST]],"")</f>
        <v>#VALUE!</v>
      </c>
      <c r="I259" s="14" t="e">
        <f ca="1">IF(PaymentSchedule[[#This Row],[PMT NO]]&lt;&gt;"",PaymentSchedule[[#This Row],[BEGINNING BALANCE]]*(InterestRate/PaymentsPerYear),"")</f>
        <v>#VALUE!</v>
      </c>
      <c r="J259" s="14" t="s">
        <v>32</v>
      </c>
      <c r="K259" s="14" t="e">
        <f ca="1">IF(PaymentSchedule[[#This Row],[PMT NO]]&lt;&gt;"",SUM(INDEX(PaymentSchedule[INTEREST],1,1):PaymentSchedule[[#This Row],[INTEREST]]),"")</f>
        <v>#VALUE!</v>
      </c>
    </row>
    <row r="260" spans="2:11">
      <c r="B260" s="10">
        <f ca="1">IF(LoanIsGood,IF(ROW()-ROW(PaymentSchedule[[#Headers],[PMT NO]])&gt;ScheduledNumberOfPayments,"",ROW()-ROW(PaymentSchedule[[#Headers],[PMT NO]])),"")</f>
        <v>244</v>
      </c>
      <c r="C260" s="12">
        <f ca="1">IF(PaymentSchedule[[#This Row],[PMT NO]]&lt;&gt;"",EOMONTH(LoanStartDate,ROW(PaymentSchedule[[#This Row],[PMT NO]])-ROW(PaymentSchedule[[#Headers],[PMT NO]])-2)+DAY(LoanStartDate),"")</f>
        <v>53360</v>
      </c>
      <c r="D26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0" s="14">
        <f ca="1">IF(PaymentSchedule[[#This Row],[PMT NO]]&lt;&gt;"",ScheduledPayment,"")</f>
        <v>1073.6432460242781</v>
      </c>
      <c r="F2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0" s="14" t="e">
        <f ca="1">IF(PaymentSchedule[[#This Row],[PMT NO]]&lt;&gt;"",PaymentSchedule[[#This Row],[TOTAL PAYMENT]]-PaymentSchedule[[#This Row],[INTEREST]],"")</f>
        <v>#VALUE!</v>
      </c>
      <c r="I260" s="14" t="e">
        <f ca="1">IF(PaymentSchedule[[#This Row],[PMT NO]]&lt;&gt;"",PaymentSchedule[[#This Row],[BEGINNING BALANCE]]*(InterestRate/PaymentsPerYear),"")</f>
        <v>#VALUE!</v>
      </c>
      <c r="J260" s="14" t="s">
        <v>32</v>
      </c>
      <c r="K260" s="14" t="e">
        <f ca="1">IF(PaymentSchedule[[#This Row],[PMT NO]]&lt;&gt;"",SUM(INDEX(PaymentSchedule[INTEREST],1,1):PaymentSchedule[[#This Row],[INTEREST]]),"")</f>
        <v>#VALUE!</v>
      </c>
    </row>
    <row r="261" spans="2:11">
      <c r="B261" s="10">
        <f ca="1">IF(LoanIsGood,IF(ROW()-ROW(PaymentSchedule[[#Headers],[PMT NO]])&gt;ScheduledNumberOfPayments,"",ROW()-ROW(PaymentSchedule[[#Headers],[PMT NO]])),"")</f>
        <v>245</v>
      </c>
      <c r="C261" s="12">
        <f ca="1">IF(PaymentSchedule[[#This Row],[PMT NO]]&lt;&gt;"",EOMONTH(LoanStartDate,ROW(PaymentSchedule[[#This Row],[PMT NO]])-ROW(PaymentSchedule[[#Headers],[PMT NO]])-2)+DAY(LoanStartDate),"")</f>
        <v>53388</v>
      </c>
      <c r="D26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1" s="14">
        <f ca="1">IF(PaymentSchedule[[#This Row],[PMT NO]]&lt;&gt;"",ScheduledPayment,"")</f>
        <v>1073.6432460242781</v>
      </c>
      <c r="F2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1" s="14" t="e">
        <f ca="1">IF(PaymentSchedule[[#This Row],[PMT NO]]&lt;&gt;"",PaymentSchedule[[#This Row],[TOTAL PAYMENT]]-PaymentSchedule[[#This Row],[INTEREST]],"")</f>
        <v>#VALUE!</v>
      </c>
      <c r="I261" s="14" t="e">
        <f ca="1">IF(PaymentSchedule[[#This Row],[PMT NO]]&lt;&gt;"",PaymentSchedule[[#This Row],[BEGINNING BALANCE]]*(InterestRate/PaymentsPerYear),"")</f>
        <v>#VALUE!</v>
      </c>
      <c r="J261" s="14" t="s">
        <v>32</v>
      </c>
      <c r="K261" s="14" t="e">
        <f ca="1">IF(PaymentSchedule[[#This Row],[PMT NO]]&lt;&gt;"",SUM(INDEX(PaymentSchedule[INTEREST],1,1):PaymentSchedule[[#This Row],[INTEREST]]),"")</f>
        <v>#VALUE!</v>
      </c>
    </row>
    <row r="262" spans="2:11">
      <c r="B262" s="10">
        <f ca="1">IF(LoanIsGood,IF(ROW()-ROW(PaymentSchedule[[#Headers],[PMT NO]])&gt;ScheduledNumberOfPayments,"",ROW()-ROW(PaymentSchedule[[#Headers],[PMT NO]])),"")</f>
        <v>246</v>
      </c>
      <c r="C262" s="12">
        <f ca="1">IF(PaymentSchedule[[#This Row],[PMT NO]]&lt;&gt;"",EOMONTH(LoanStartDate,ROW(PaymentSchedule[[#This Row],[PMT NO]])-ROW(PaymentSchedule[[#Headers],[PMT NO]])-2)+DAY(LoanStartDate),"")</f>
        <v>53419</v>
      </c>
      <c r="D26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2" s="14">
        <f ca="1">IF(PaymentSchedule[[#This Row],[PMT NO]]&lt;&gt;"",ScheduledPayment,"")</f>
        <v>1073.6432460242781</v>
      </c>
      <c r="F2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2" s="14" t="e">
        <f ca="1">IF(PaymentSchedule[[#This Row],[PMT NO]]&lt;&gt;"",PaymentSchedule[[#This Row],[TOTAL PAYMENT]]-PaymentSchedule[[#This Row],[INTEREST]],"")</f>
        <v>#VALUE!</v>
      </c>
      <c r="I262" s="14" t="e">
        <f ca="1">IF(PaymentSchedule[[#This Row],[PMT NO]]&lt;&gt;"",PaymentSchedule[[#This Row],[BEGINNING BALANCE]]*(InterestRate/PaymentsPerYear),"")</f>
        <v>#VALUE!</v>
      </c>
      <c r="J262" s="14" t="s">
        <v>32</v>
      </c>
      <c r="K262" s="14" t="e">
        <f ca="1">IF(PaymentSchedule[[#This Row],[PMT NO]]&lt;&gt;"",SUM(INDEX(PaymentSchedule[INTEREST],1,1):PaymentSchedule[[#This Row],[INTEREST]]),"")</f>
        <v>#VALUE!</v>
      </c>
    </row>
    <row r="263" spans="2:11">
      <c r="B263" s="10">
        <f ca="1">IF(LoanIsGood,IF(ROW()-ROW(PaymentSchedule[[#Headers],[PMT NO]])&gt;ScheduledNumberOfPayments,"",ROW()-ROW(PaymentSchedule[[#Headers],[PMT NO]])),"")</f>
        <v>247</v>
      </c>
      <c r="C263" s="12">
        <f ca="1">IF(PaymentSchedule[[#This Row],[PMT NO]]&lt;&gt;"",EOMONTH(LoanStartDate,ROW(PaymentSchedule[[#This Row],[PMT NO]])-ROW(PaymentSchedule[[#Headers],[PMT NO]])-2)+DAY(LoanStartDate),"")</f>
        <v>53449</v>
      </c>
      <c r="D26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3" s="14">
        <f ca="1">IF(PaymentSchedule[[#This Row],[PMT NO]]&lt;&gt;"",ScheduledPayment,"")</f>
        <v>1073.6432460242781</v>
      </c>
      <c r="F2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3" s="14" t="e">
        <f ca="1">IF(PaymentSchedule[[#This Row],[PMT NO]]&lt;&gt;"",PaymentSchedule[[#This Row],[TOTAL PAYMENT]]-PaymentSchedule[[#This Row],[INTEREST]],"")</f>
        <v>#VALUE!</v>
      </c>
      <c r="I263" s="14" t="e">
        <f ca="1">IF(PaymentSchedule[[#This Row],[PMT NO]]&lt;&gt;"",PaymentSchedule[[#This Row],[BEGINNING BALANCE]]*(InterestRate/PaymentsPerYear),"")</f>
        <v>#VALUE!</v>
      </c>
      <c r="J263" s="14" t="s">
        <v>32</v>
      </c>
      <c r="K263" s="14" t="e">
        <f ca="1">IF(PaymentSchedule[[#This Row],[PMT NO]]&lt;&gt;"",SUM(INDEX(PaymentSchedule[INTEREST],1,1):PaymentSchedule[[#This Row],[INTEREST]]),"")</f>
        <v>#VALUE!</v>
      </c>
    </row>
    <row r="264" spans="2:11">
      <c r="B264" s="10">
        <f ca="1">IF(LoanIsGood,IF(ROW()-ROW(PaymentSchedule[[#Headers],[PMT NO]])&gt;ScheduledNumberOfPayments,"",ROW()-ROW(PaymentSchedule[[#Headers],[PMT NO]])),"")</f>
        <v>248</v>
      </c>
      <c r="C264" s="12">
        <f ca="1">IF(PaymentSchedule[[#This Row],[PMT NO]]&lt;&gt;"",EOMONTH(LoanStartDate,ROW(PaymentSchedule[[#This Row],[PMT NO]])-ROW(PaymentSchedule[[#Headers],[PMT NO]])-2)+DAY(LoanStartDate),"")</f>
        <v>53480</v>
      </c>
      <c r="D26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4" s="14">
        <f ca="1">IF(PaymentSchedule[[#This Row],[PMT NO]]&lt;&gt;"",ScheduledPayment,"")</f>
        <v>1073.6432460242781</v>
      </c>
      <c r="F2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4" s="14" t="e">
        <f ca="1">IF(PaymentSchedule[[#This Row],[PMT NO]]&lt;&gt;"",PaymentSchedule[[#This Row],[TOTAL PAYMENT]]-PaymentSchedule[[#This Row],[INTEREST]],"")</f>
        <v>#VALUE!</v>
      </c>
      <c r="I264" s="14" t="e">
        <f ca="1">IF(PaymentSchedule[[#This Row],[PMT NO]]&lt;&gt;"",PaymentSchedule[[#This Row],[BEGINNING BALANCE]]*(InterestRate/PaymentsPerYear),"")</f>
        <v>#VALUE!</v>
      </c>
      <c r="J264" s="14" t="s">
        <v>32</v>
      </c>
      <c r="K264" s="14" t="e">
        <f ca="1">IF(PaymentSchedule[[#This Row],[PMT NO]]&lt;&gt;"",SUM(INDEX(PaymentSchedule[INTEREST],1,1):PaymentSchedule[[#This Row],[INTEREST]]),"")</f>
        <v>#VALUE!</v>
      </c>
    </row>
    <row r="265" spans="2:11">
      <c r="B265" s="10">
        <f ca="1">IF(LoanIsGood,IF(ROW()-ROW(PaymentSchedule[[#Headers],[PMT NO]])&gt;ScheduledNumberOfPayments,"",ROW()-ROW(PaymentSchedule[[#Headers],[PMT NO]])),"")</f>
        <v>249</v>
      </c>
      <c r="C265" s="12">
        <f ca="1">IF(PaymentSchedule[[#This Row],[PMT NO]]&lt;&gt;"",EOMONTH(LoanStartDate,ROW(PaymentSchedule[[#This Row],[PMT NO]])-ROW(PaymentSchedule[[#Headers],[PMT NO]])-2)+DAY(LoanStartDate),"")</f>
        <v>53510</v>
      </c>
      <c r="D26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5" s="14">
        <f ca="1">IF(PaymentSchedule[[#This Row],[PMT NO]]&lt;&gt;"",ScheduledPayment,"")</f>
        <v>1073.6432460242781</v>
      </c>
      <c r="F2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5" s="14" t="e">
        <f ca="1">IF(PaymentSchedule[[#This Row],[PMT NO]]&lt;&gt;"",PaymentSchedule[[#This Row],[TOTAL PAYMENT]]-PaymentSchedule[[#This Row],[INTEREST]],"")</f>
        <v>#VALUE!</v>
      </c>
      <c r="I265" s="14" t="e">
        <f ca="1">IF(PaymentSchedule[[#This Row],[PMT NO]]&lt;&gt;"",PaymentSchedule[[#This Row],[BEGINNING BALANCE]]*(InterestRate/PaymentsPerYear),"")</f>
        <v>#VALUE!</v>
      </c>
      <c r="J265" s="14" t="s">
        <v>32</v>
      </c>
      <c r="K265" s="14" t="e">
        <f ca="1">IF(PaymentSchedule[[#This Row],[PMT NO]]&lt;&gt;"",SUM(INDEX(PaymentSchedule[INTEREST],1,1):PaymentSchedule[[#This Row],[INTEREST]]),"")</f>
        <v>#VALUE!</v>
      </c>
    </row>
    <row r="266" spans="2:11">
      <c r="B266" s="10">
        <f ca="1">IF(LoanIsGood,IF(ROW()-ROW(PaymentSchedule[[#Headers],[PMT NO]])&gt;ScheduledNumberOfPayments,"",ROW()-ROW(PaymentSchedule[[#Headers],[PMT NO]])),"")</f>
        <v>250</v>
      </c>
      <c r="C266" s="12">
        <f ca="1">IF(PaymentSchedule[[#This Row],[PMT NO]]&lt;&gt;"",EOMONTH(LoanStartDate,ROW(PaymentSchedule[[#This Row],[PMT NO]])-ROW(PaymentSchedule[[#Headers],[PMT NO]])-2)+DAY(LoanStartDate),"")</f>
        <v>53541</v>
      </c>
      <c r="D26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6" s="14">
        <f ca="1">IF(PaymentSchedule[[#This Row],[PMT NO]]&lt;&gt;"",ScheduledPayment,"")</f>
        <v>1073.6432460242781</v>
      </c>
      <c r="F2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6" s="14" t="e">
        <f ca="1">IF(PaymentSchedule[[#This Row],[PMT NO]]&lt;&gt;"",PaymentSchedule[[#This Row],[TOTAL PAYMENT]]-PaymentSchedule[[#This Row],[INTEREST]],"")</f>
        <v>#VALUE!</v>
      </c>
      <c r="I266" s="14" t="e">
        <f ca="1">IF(PaymentSchedule[[#This Row],[PMT NO]]&lt;&gt;"",PaymentSchedule[[#This Row],[BEGINNING BALANCE]]*(InterestRate/PaymentsPerYear),"")</f>
        <v>#VALUE!</v>
      </c>
      <c r="J266" s="14" t="s">
        <v>32</v>
      </c>
      <c r="K266" s="14" t="e">
        <f ca="1">IF(PaymentSchedule[[#This Row],[PMT NO]]&lt;&gt;"",SUM(INDEX(PaymentSchedule[INTEREST],1,1):PaymentSchedule[[#This Row],[INTEREST]]),"")</f>
        <v>#VALUE!</v>
      </c>
    </row>
    <row r="267" spans="2:11">
      <c r="B267" s="10">
        <f ca="1">IF(LoanIsGood,IF(ROW()-ROW(PaymentSchedule[[#Headers],[PMT NO]])&gt;ScheduledNumberOfPayments,"",ROW()-ROW(PaymentSchedule[[#Headers],[PMT NO]])),"")</f>
        <v>251</v>
      </c>
      <c r="C267" s="12">
        <f ca="1">IF(PaymentSchedule[[#This Row],[PMT NO]]&lt;&gt;"",EOMONTH(LoanStartDate,ROW(PaymentSchedule[[#This Row],[PMT NO]])-ROW(PaymentSchedule[[#Headers],[PMT NO]])-2)+DAY(LoanStartDate),"")</f>
        <v>53572</v>
      </c>
      <c r="D26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7" s="14">
        <f ca="1">IF(PaymentSchedule[[#This Row],[PMT NO]]&lt;&gt;"",ScheduledPayment,"")</f>
        <v>1073.6432460242781</v>
      </c>
      <c r="F2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7" s="14" t="e">
        <f ca="1">IF(PaymentSchedule[[#This Row],[PMT NO]]&lt;&gt;"",PaymentSchedule[[#This Row],[TOTAL PAYMENT]]-PaymentSchedule[[#This Row],[INTEREST]],"")</f>
        <v>#VALUE!</v>
      </c>
      <c r="I267" s="14" t="e">
        <f ca="1">IF(PaymentSchedule[[#This Row],[PMT NO]]&lt;&gt;"",PaymentSchedule[[#This Row],[BEGINNING BALANCE]]*(InterestRate/PaymentsPerYear),"")</f>
        <v>#VALUE!</v>
      </c>
      <c r="J267" s="14" t="s">
        <v>32</v>
      </c>
      <c r="K267" s="14" t="e">
        <f ca="1">IF(PaymentSchedule[[#This Row],[PMT NO]]&lt;&gt;"",SUM(INDEX(PaymentSchedule[INTEREST],1,1):PaymentSchedule[[#This Row],[INTEREST]]),"")</f>
        <v>#VALUE!</v>
      </c>
    </row>
    <row r="268" spans="2:11">
      <c r="B268" s="10">
        <f ca="1">IF(LoanIsGood,IF(ROW()-ROW(PaymentSchedule[[#Headers],[PMT NO]])&gt;ScheduledNumberOfPayments,"",ROW()-ROW(PaymentSchedule[[#Headers],[PMT NO]])),"")</f>
        <v>252</v>
      </c>
      <c r="C268" s="12">
        <f ca="1">IF(PaymentSchedule[[#This Row],[PMT NO]]&lt;&gt;"",EOMONTH(LoanStartDate,ROW(PaymentSchedule[[#This Row],[PMT NO]])-ROW(PaymentSchedule[[#Headers],[PMT NO]])-2)+DAY(LoanStartDate),"")</f>
        <v>53602</v>
      </c>
      <c r="D26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8" s="14">
        <f ca="1">IF(PaymentSchedule[[#This Row],[PMT NO]]&lt;&gt;"",ScheduledPayment,"")</f>
        <v>1073.6432460242781</v>
      </c>
      <c r="F2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8" s="14" t="e">
        <f ca="1">IF(PaymentSchedule[[#This Row],[PMT NO]]&lt;&gt;"",PaymentSchedule[[#This Row],[TOTAL PAYMENT]]-PaymentSchedule[[#This Row],[INTEREST]],"")</f>
        <v>#VALUE!</v>
      </c>
      <c r="I268" s="14" t="e">
        <f ca="1">IF(PaymentSchedule[[#This Row],[PMT NO]]&lt;&gt;"",PaymentSchedule[[#This Row],[BEGINNING BALANCE]]*(InterestRate/PaymentsPerYear),"")</f>
        <v>#VALUE!</v>
      </c>
      <c r="J268" s="14" t="s">
        <v>32</v>
      </c>
      <c r="K268" s="14" t="e">
        <f ca="1">IF(PaymentSchedule[[#This Row],[PMT NO]]&lt;&gt;"",SUM(INDEX(PaymentSchedule[INTEREST],1,1):PaymentSchedule[[#This Row],[INTEREST]]),"")</f>
        <v>#VALUE!</v>
      </c>
    </row>
    <row r="269" spans="2:11">
      <c r="B269" s="10">
        <f ca="1">IF(LoanIsGood,IF(ROW()-ROW(PaymentSchedule[[#Headers],[PMT NO]])&gt;ScheduledNumberOfPayments,"",ROW()-ROW(PaymentSchedule[[#Headers],[PMT NO]])),"")</f>
        <v>253</v>
      </c>
      <c r="C269" s="12">
        <f ca="1">IF(PaymentSchedule[[#This Row],[PMT NO]]&lt;&gt;"",EOMONTH(LoanStartDate,ROW(PaymentSchedule[[#This Row],[PMT NO]])-ROW(PaymentSchedule[[#Headers],[PMT NO]])-2)+DAY(LoanStartDate),"")</f>
        <v>53633</v>
      </c>
      <c r="D26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69" s="14">
        <f ca="1">IF(PaymentSchedule[[#This Row],[PMT NO]]&lt;&gt;"",ScheduledPayment,"")</f>
        <v>1073.6432460242781</v>
      </c>
      <c r="F2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6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69" s="14" t="e">
        <f ca="1">IF(PaymentSchedule[[#This Row],[PMT NO]]&lt;&gt;"",PaymentSchedule[[#This Row],[TOTAL PAYMENT]]-PaymentSchedule[[#This Row],[INTEREST]],"")</f>
        <v>#VALUE!</v>
      </c>
      <c r="I269" s="14" t="e">
        <f ca="1">IF(PaymentSchedule[[#This Row],[PMT NO]]&lt;&gt;"",PaymentSchedule[[#This Row],[BEGINNING BALANCE]]*(InterestRate/PaymentsPerYear),"")</f>
        <v>#VALUE!</v>
      </c>
      <c r="J269" s="14" t="s">
        <v>32</v>
      </c>
      <c r="K269" s="14" t="e">
        <f ca="1">IF(PaymentSchedule[[#This Row],[PMT NO]]&lt;&gt;"",SUM(INDEX(PaymentSchedule[INTEREST],1,1):PaymentSchedule[[#This Row],[INTEREST]]),"")</f>
        <v>#VALUE!</v>
      </c>
    </row>
    <row r="270" spans="2:11">
      <c r="B270" s="10">
        <f ca="1">IF(LoanIsGood,IF(ROW()-ROW(PaymentSchedule[[#Headers],[PMT NO]])&gt;ScheduledNumberOfPayments,"",ROW()-ROW(PaymentSchedule[[#Headers],[PMT NO]])),"")</f>
        <v>254</v>
      </c>
      <c r="C270" s="12">
        <f ca="1">IF(PaymentSchedule[[#This Row],[PMT NO]]&lt;&gt;"",EOMONTH(LoanStartDate,ROW(PaymentSchedule[[#This Row],[PMT NO]])-ROW(PaymentSchedule[[#Headers],[PMT NO]])-2)+DAY(LoanStartDate),"")</f>
        <v>53663</v>
      </c>
      <c r="D27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0" s="14">
        <f ca="1">IF(PaymentSchedule[[#This Row],[PMT NO]]&lt;&gt;"",ScheduledPayment,"")</f>
        <v>1073.6432460242781</v>
      </c>
      <c r="F2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0" s="14" t="e">
        <f ca="1">IF(PaymentSchedule[[#This Row],[PMT NO]]&lt;&gt;"",PaymentSchedule[[#This Row],[TOTAL PAYMENT]]-PaymentSchedule[[#This Row],[INTEREST]],"")</f>
        <v>#VALUE!</v>
      </c>
      <c r="I270" s="14" t="e">
        <f ca="1">IF(PaymentSchedule[[#This Row],[PMT NO]]&lt;&gt;"",PaymentSchedule[[#This Row],[BEGINNING BALANCE]]*(InterestRate/PaymentsPerYear),"")</f>
        <v>#VALUE!</v>
      </c>
      <c r="J270" s="14" t="s">
        <v>32</v>
      </c>
      <c r="K270" s="14" t="e">
        <f ca="1">IF(PaymentSchedule[[#This Row],[PMT NO]]&lt;&gt;"",SUM(INDEX(PaymentSchedule[INTEREST],1,1):PaymentSchedule[[#This Row],[INTEREST]]),"")</f>
        <v>#VALUE!</v>
      </c>
    </row>
    <row r="271" spans="2:11">
      <c r="B271" s="10">
        <f ca="1">IF(LoanIsGood,IF(ROW()-ROW(PaymentSchedule[[#Headers],[PMT NO]])&gt;ScheduledNumberOfPayments,"",ROW()-ROW(PaymentSchedule[[#Headers],[PMT NO]])),"")</f>
        <v>255</v>
      </c>
      <c r="C271" s="12">
        <f ca="1">IF(PaymentSchedule[[#This Row],[PMT NO]]&lt;&gt;"",EOMONTH(LoanStartDate,ROW(PaymentSchedule[[#This Row],[PMT NO]])-ROW(PaymentSchedule[[#Headers],[PMT NO]])-2)+DAY(LoanStartDate),"")</f>
        <v>53694</v>
      </c>
      <c r="D27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1" s="14">
        <f ca="1">IF(PaymentSchedule[[#This Row],[PMT NO]]&lt;&gt;"",ScheduledPayment,"")</f>
        <v>1073.6432460242781</v>
      </c>
      <c r="F2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1" s="14" t="e">
        <f ca="1">IF(PaymentSchedule[[#This Row],[PMT NO]]&lt;&gt;"",PaymentSchedule[[#This Row],[TOTAL PAYMENT]]-PaymentSchedule[[#This Row],[INTEREST]],"")</f>
        <v>#VALUE!</v>
      </c>
      <c r="I271" s="14" t="e">
        <f ca="1">IF(PaymentSchedule[[#This Row],[PMT NO]]&lt;&gt;"",PaymentSchedule[[#This Row],[BEGINNING BALANCE]]*(InterestRate/PaymentsPerYear),"")</f>
        <v>#VALUE!</v>
      </c>
      <c r="J271" s="14" t="s">
        <v>32</v>
      </c>
      <c r="K271" s="14" t="e">
        <f ca="1">IF(PaymentSchedule[[#This Row],[PMT NO]]&lt;&gt;"",SUM(INDEX(PaymentSchedule[INTEREST],1,1):PaymentSchedule[[#This Row],[INTEREST]]),"")</f>
        <v>#VALUE!</v>
      </c>
    </row>
    <row r="272" spans="2:11">
      <c r="B272" s="10">
        <f ca="1">IF(LoanIsGood,IF(ROW()-ROW(PaymentSchedule[[#Headers],[PMT NO]])&gt;ScheduledNumberOfPayments,"",ROW()-ROW(PaymentSchedule[[#Headers],[PMT NO]])),"")</f>
        <v>256</v>
      </c>
      <c r="C272" s="12">
        <f ca="1">IF(PaymentSchedule[[#This Row],[PMT NO]]&lt;&gt;"",EOMONTH(LoanStartDate,ROW(PaymentSchedule[[#This Row],[PMT NO]])-ROW(PaymentSchedule[[#Headers],[PMT NO]])-2)+DAY(LoanStartDate),"")</f>
        <v>53725</v>
      </c>
      <c r="D27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2" s="14">
        <f ca="1">IF(PaymentSchedule[[#This Row],[PMT NO]]&lt;&gt;"",ScheduledPayment,"")</f>
        <v>1073.6432460242781</v>
      </c>
      <c r="F2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2" s="14" t="e">
        <f ca="1">IF(PaymentSchedule[[#This Row],[PMT NO]]&lt;&gt;"",PaymentSchedule[[#This Row],[TOTAL PAYMENT]]-PaymentSchedule[[#This Row],[INTEREST]],"")</f>
        <v>#VALUE!</v>
      </c>
      <c r="I272" s="14" t="e">
        <f ca="1">IF(PaymentSchedule[[#This Row],[PMT NO]]&lt;&gt;"",PaymentSchedule[[#This Row],[BEGINNING BALANCE]]*(InterestRate/PaymentsPerYear),"")</f>
        <v>#VALUE!</v>
      </c>
      <c r="J272" s="14" t="s">
        <v>32</v>
      </c>
      <c r="K272" s="14" t="e">
        <f ca="1">IF(PaymentSchedule[[#This Row],[PMT NO]]&lt;&gt;"",SUM(INDEX(PaymentSchedule[INTEREST],1,1):PaymentSchedule[[#This Row],[INTEREST]]),"")</f>
        <v>#VALUE!</v>
      </c>
    </row>
    <row r="273" spans="2:11">
      <c r="B273" s="10">
        <f ca="1">IF(LoanIsGood,IF(ROW()-ROW(PaymentSchedule[[#Headers],[PMT NO]])&gt;ScheduledNumberOfPayments,"",ROW()-ROW(PaymentSchedule[[#Headers],[PMT NO]])),"")</f>
        <v>257</v>
      </c>
      <c r="C273" s="12">
        <f ca="1">IF(PaymentSchedule[[#This Row],[PMT NO]]&lt;&gt;"",EOMONTH(LoanStartDate,ROW(PaymentSchedule[[#This Row],[PMT NO]])-ROW(PaymentSchedule[[#Headers],[PMT NO]])-2)+DAY(LoanStartDate),"")</f>
        <v>53753</v>
      </c>
      <c r="D27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3" s="14">
        <f ca="1">IF(PaymentSchedule[[#This Row],[PMT NO]]&lt;&gt;"",ScheduledPayment,"")</f>
        <v>1073.6432460242781</v>
      </c>
      <c r="F2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3" s="14" t="e">
        <f ca="1">IF(PaymentSchedule[[#This Row],[PMT NO]]&lt;&gt;"",PaymentSchedule[[#This Row],[TOTAL PAYMENT]]-PaymentSchedule[[#This Row],[INTEREST]],"")</f>
        <v>#VALUE!</v>
      </c>
      <c r="I273" s="14" t="e">
        <f ca="1">IF(PaymentSchedule[[#This Row],[PMT NO]]&lt;&gt;"",PaymentSchedule[[#This Row],[BEGINNING BALANCE]]*(InterestRate/PaymentsPerYear),"")</f>
        <v>#VALUE!</v>
      </c>
      <c r="J273" s="14" t="s">
        <v>32</v>
      </c>
      <c r="K273" s="14" t="e">
        <f ca="1">IF(PaymentSchedule[[#This Row],[PMT NO]]&lt;&gt;"",SUM(INDEX(PaymentSchedule[INTEREST],1,1):PaymentSchedule[[#This Row],[INTEREST]]),"")</f>
        <v>#VALUE!</v>
      </c>
    </row>
    <row r="274" spans="2:11">
      <c r="B274" s="10">
        <f ca="1">IF(LoanIsGood,IF(ROW()-ROW(PaymentSchedule[[#Headers],[PMT NO]])&gt;ScheduledNumberOfPayments,"",ROW()-ROW(PaymentSchedule[[#Headers],[PMT NO]])),"")</f>
        <v>258</v>
      </c>
      <c r="C274" s="12">
        <f ca="1">IF(PaymentSchedule[[#This Row],[PMT NO]]&lt;&gt;"",EOMONTH(LoanStartDate,ROW(PaymentSchedule[[#This Row],[PMT NO]])-ROW(PaymentSchedule[[#Headers],[PMT NO]])-2)+DAY(LoanStartDate),"")</f>
        <v>53784</v>
      </c>
      <c r="D27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4" s="14">
        <f ca="1">IF(PaymentSchedule[[#This Row],[PMT NO]]&lt;&gt;"",ScheduledPayment,"")</f>
        <v>1073.6432460242781</v>
      </c>
      <c r="F2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4" s="14" t="e">
        <f ca="1">IF(PaymentSchedule[[#This Row],[PMT NO]]&lt;&gt;"",PaymentSchedule[[#This Row],[TOTAL PAYMENT]]-PaymentSchedule[[#This Row],[INTEREST]],"")</f>
        <v>#VALUE!</v>
      </c>
      <c r="I274" s="14" t="e">
        <f ca="1">IF(PaymentSchedule[[#This Row],[PMT NO]]&lt;&gt;"",PaymentSchedule[[#This Row],[BEGINNING BALANCE]]*(InterestRate/PaymentsPerYear),"")</f>
        <v>#VALUE!</v>
      </c>
      <c r="J274" s="14" t="s">
        <v>32</v>
      </c>
      <c r="K274" s="14" t="e">
        <f ca="1">IF(PaymentSchedule[[#This Row],[PMT NO]]&lt;&gt;"",SUM(INDEX(PaymentSchedule[INTEREST],1,1):PaymentSchedule[[#This Row],[INTEREST]]),"")</f>
        <v>#VALUE!</v>
      </c>
    </row>
    <row r="275" spans="2:11">
      <c r="B275" s="10">
        <f ca="1">IF(LoanIsGood,IF(ROW()-ROW(PaymentSchedule[[#Headers],[PMT NO]])&gt;ScheduledNumberOfPayments,"",ROW()-ROW(PaymentSchedule[[#Headers],[PMT NO]])),"")</f>
        <v>259</v>
      </c>
      <c r="C275" s="12">
        <f ca="1">IF(PaymentSchedule[[#This Row],[PMT NO]]&lt;&gt;"",EOMONTH(LoanStartDate,ROW(PaymentSchedule[[#This Row],[PMT NO]])-ROW(PaymentSchedule[[#Headers],[PMT NO]])-2)+DAY(LoanStartDate),"")</f>
        <v>53814</v>
      </c>
      <c r="D27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5" s="14">
        <f ca="1">IF(PaymentSchedule[[#This Row],[PMT NO]]&lt;&gt;"",ScheduledPayment,"")</f>
        <v>1073.6432460242781</v>
      </c>
      <c r="F2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5" s="14" t="e">
        <f ca="1">IF(PaymentSchedule[[#This Row],[PMT NO]]&lt;&gt;"",PaymentSchedule[[#This Row],[TOTAL PAYMENT]]-PaymentSchedule[[#This Row],[INTEREST]],"")</f>
        <v>#VALUE!</v>
      </c>
      <c r="I275" s="14" t="e">
        <f ca="1">IF(PaymentSchedule[[#This Row],[PMT NO]]&lt;&gt;"",PaymentSchedule[[#This Row],[BEGINNING BALANCE]]*(InterestRate/PaymentsPerYear),"")</f>
        <v>#VALUE!</v>
      </c>
      <c r="J275" s="14" t="s">
        <v>32</v>
      </c>
      <c r="K275" s="14" t="e">
        <f ca="1">IF(PaymentSchedule[[#This Row],[PMT NO]]&lt;&gt;"",SUM(INDEX(PaymentSchedule[INTEREST],1,1):PaymentSchedule[[#This Row],[INTEREST]]),"")</f>
        <v>#VALUE!</v>
      </c>
    </row>
    <row r="276" spans="2:11">
      <c r="B276" s="10">
        <f ca="1">IF(LoanIsGood,IF(ROW()-ROW(PaymentSchedule[[#Headers],[PMT NO]])&gt;ScheduledNumberOfPayments,"",ROW()-ROW(PaymentSchedule[[#Headers],[PMT NO]])),"")</f>
        <v>260</v>
      </c>
      <c r="C276" s="12">
        <f ca="1">IF(PaymentSchedule[[#This Row],[PMT NO]]&lt;&gt;"",EOMONTH(LoanStartDate,ROW(PaymentSchedule[[#This Row],[PMT NO]])-ROW(PaymentSchedule[[#Headers],[PMT NO]])-2)+DAY(LoanStartDate),"")</f>
        <v>53845</v>
      </c>
      <c r="D27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6" s="14">
        <f ca="1">IF(PaymentSchedule[[#This Row],[PMT NO]]&lt;&gt;"",ScheduledPayment,"")</f>
        <v>1073.6432460242781</v>
      </c>
      <c r="F2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6" s="14" t="e">
        <f ca="1">IF(PaymentSchedule[[#This Row],[PMT NO]]&lt;&gt;"",PaymentSchedule[[#This Row],[TOTAL PAYMENT]]-PaymentSchedule[[#This Row],[INTEREST]],"")</f>
        <v>#VALUE!</v>
      </c>
      <c r="I276" s="14" t="e">
        <f ca="1">IF(PaymentSchedule[[#This Row],[PMT NO]]&lt;&gt;"",PaymentSchedule[[#This Row],[BEGINNING BALANCE]]*(InterestRate/PaymentsPerYear),"")</f>
        <v>#VALUE!</v>
      </c>
      <c r="J276" s="14" t="s">
        <v>32</v>
      </c>
      <c r="K276" s="14" t="e">
        <f ca="1">IF(PaymentSchedule[[#This Row],[PMT NO]]&lt;&gt;"",SUM(INDEX(PaymentSchedule[INTEREST],1,1):PaymentSchedule[[#This Row],[INTEREST]]),"")</f>
        <v>#VALUE!</v>
      </c>
    </row>
    <row r="277" spans="2:11">
      <c r="B277" s="10">
        <f ca="1">IF(LoanIsGood,IF(ROW()-ROW(PaymentSchedule[[#Headers],[PMT NO]])&gt;ScheduledNumberOfPayments,"",ROW()-ROW(PaymentSchedule[[#Headers],[PMT NO]])),"")</f>
        <v>261</v>
      </c>
      <c r="C277" s="12">
        <f ca="1">IF(PaymentSchedule[[#This Row],[PMT NO]]&lt;&gt;"",EOMONTH(LoanStartDate,ROW(PaymentSchedule[[#This Row],[PMT NO]])-ROW(PaymentSchedule[[#Headers],[PMT NO]])-2)+DAY(LoanStartDate),"")</f>
        <v>53875</v>
      </c>
      <c r="D27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7" s="14">
        <f ca="1">IF(PaymentSchedule[[#This Row],[PMT NO]]&lt;&gt;"",ScheduledPayment,"")</f>
        <v>1073.6432460242781</v>
      </c>
      <c r="F27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7" s="14" t="e">
        <f ca="1">IF(PaymentSchedule[[#This Row],[PMT NO]]&lt;&gt;"",PaymentSchedule[[#This Row],[TOTAL PAYMENT]]-PaymentSchedule[[#This Row],[INTEREST]],"")</f>
        <v>#VALUE!</v>
      </c>
      <c r="I277" s="14" t="e">
        <f ca="1">IF(PaymentSchedule[[#This Row],[PMT NO]]&lt;&gt;"",PaymentSchedule[[#This Row],[BEGINNING BALANCE]]*(InterestRate/PaymentsPerYear),"")</f>
        <v>#VALUE!</v>
      </c>
      <c r="J277" s="14" t="s">
        <v>32</v>
      </c>
      <c r="K277" s="14" t="e">
        <f ca="1">IF(PaymentSchedule[[#This Row],[PMT NO]]&lt;&gt;"",SUM(INDEX(PaymentSchedule[INTEREST],1,1):PaymentSchedule[[#This Row],[INTEREST]]),"")</f>
        <v>#VALUE!</v>
      </c>
    </row>
    <row r="278" spans="2:11">
      <c r="B278" s="10">
        <f ca="1">IF(LoanIsGood,IF(ROW()-ROW(PaymentSchedule[[#Headers],[PMT NO]])&gt;ScheduledNumberOfPayments,"",ROW()-ROW(PaymentSchedule[[#Headers],[PMT NO]])),"")</f>
        <v>262</v>
      </c>
      <c r="C278" s="12">
        <f ca="1">IF(PaymentSchedule[[#This Row],[PMT NO]]&lt;&gt;"",EOMONTH(LoanStartDate,ROW(PaymentSchedule[[#This Row],[PMT NO]])-ROW(PaymentSchedule[[#Headers],[PMT NO]])-2)+DAY(LoanStartDate),"")</f>
        <v>53906</v>
      </c>
      <c r="D27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8" s="14">
        <f ca="1">IF(PaymentSchedule[[#This Row],[PMT NO]]&lt;&gt;"",ScheduledPayment,"")</f>
        <v>1073.6432460242781</v>
      </c>
      <c r="F27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8" s="14" t="e">
        <f ca="1">IF(PaymentSchedule[[#This Row],[PMT NO]]&lt;&gt;"",PaymentSchedule[[#This Row],[TOTAL PAYMENT]]-PaymentSchedule[[#This Row],[INTEREST]],"")</f>
        <v>#VALUE!</v>
      </c>
      <c r="I278" s="14" t="e">
        <f ca="1">IF(PaymentSchedule[[#This Row],[PMT NO]]&lt;&gt;"",PaymentSchedule[[#This Row],[BEGINNING BALANCE]]*(InterestRate/PaymentsPerYear),"")</f>
        <v>#VALUE!</v>
      </c>
      <c r="J278" s="14" t="s">
        <v>32</v>
      </c>
      <c r="K278" s="14" t="e">
        <f ca="1">IF(PaymentSchedule[[#This Row],[PMT NO]]&lt;&gt;"",SUM(INDEX(PaymentSchedule[INTEREST],1,1):PaymentSchedule[[#This Row],[INTEREST]]),"")</f>
        <v>#VALUE!</v>
      </c>
    </row>
    <row r="279" spans="2:11">
      <c r="B279" s="10">
        <f ca="1">IF(LoanIsGood,IF(ROW()-ROW(PaymentSchedule[[#Headers],[PMT NO]])&gt;ScheduledNumberOfPayments,"",ROW()-ROW(PaymentSchedule[[#Headers],[PMT NO]])),"")</f>
        <v>263</v>
      </c>
      <c r="C279" s="12">
        <f ca="1">IF(PaymentSchedule[[#This Row],[PMT NO]]&lt;&gt;"",EOMONTH(LoanStartDate,ROW(PaymentSchedule[[#This Row],[PMT NO]])-ROW(PaymentSchedule[[#Headers],[PMT NO]])-2)+DAY(LoanStartDate),"")</f>
        <v>53937</v>
      </c>
      <c r="D27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79" s="14">
        <f ca="1">IF(PaymentSchedule[[#This Row],[PMT NO]]&lt;&gt;"",ScheduledPayment,"")</f>
        <v>1073.6432460242781</v>
      </c>
      <c r="F27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7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79" s="14" t="e">
        <f ca="1">IF(PaymentSchedule[[#This Row],[PMT NO]]&lt;&gt;"",PaymentSchedule[[#This Row],[TOTAL PAYMENT]]-PaymentSchedule[[#This Row],[INTEREST]],"")</f>
        <v>#VALUE!</v>
      </c>
      <c r="I279" s="14" t="e">
        <f ca="1">IF(PaymentSchedule[[#This Row],[PMT NO]]&lt;&gt;"",PaymentSchedule[[#This Row],[BEGINNING BALANCE]]*(InterestRate/PaymentsPerYear),"")</f>
        <v>#VALUE!</v>
      </c>
      <c r="J279" s="14" t="s">
        <v>32</v>
      </c>
      <c r="K279" s="14" t="e">
        <f ca="1">IF(PaymentSchedule[[#This Row],[PMT NO]]&lt;&gt;"",SUM(INDEX(PaymentSchedule[INTEREST],1,1):PaymentSchedule[[#This Row],[INTEREST]]),"")</f>
        <v>#VALUE!</v>
      </c>
    </row>
    <row r="280" spans="2:11">
      <c r="B280" s="10">
        <f ca="1">IF(LoanIsGood,IF(ROW()-ROW(PaymentSchedule[[#Headers],[PMT NO]])&gt;ScheduledNumberOfPayments,"",ROW()-ROW(PaymentSchedule[[#Headers],[PMT NO]])),"")</f>
        <v>264</v>
      </c>
      <c r="C280" s="12">
        <f ca="1">IF(PaymentSchedule[[#This Row],[PMT NO]]&lt;&gt;"",EOMONTH(LoanStartDate,ROW(PaymentSchedule[[#This Row],[PMT NO]])-ROW(PaymentSchedule[[#Headers],[PMT NO]])-2)+DAY(LoanStartDate),"")</f>
        <v>53967</v>
      </c>
      <c r="D28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0" s="14">
        <f ca="1">IF(PaymentSchedule[[#This Row],[PMT NO]]&lt;&gt;"",ScheduledPayment,"")</f>
        <v>1073.6432460242781</v>
      </c>
      <c r="F28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0" s="14" t="e">
        <f ca="1">IF(PaymentSchedule[[#This Row],[PMT NO]]&lt;&gt;"",PaymentSchedule[[#This Row],[TOTAL PAYMENT]]-PaymentSchedule[[#This Row],[INTEREST]],"")</f>
        <v>#VALUE!</v>
      </c>
      <c r="I280" s="14" t="e">
        <f ca="1">IF(PaymentSchedule[[#This Row],[PMT NO]]&lt;&gt;"",PaymentSchedule[[#This Row],[BEGINNING BALANCE]]*(InterestRate/PaymentsPerYear),"")</f>
        <v>#VALUE!</v>
      </c>
      <c r="J280" s="14" t="s">
        <v>32</v>
      </c>
      <c r="K280" s="14" t="e">
        <f ca="1">IF(PaymentSchedule[[#This Row],[PMT NO]]&lt;&gt;"",SUM(INDEX(PaymentSchedule[INTEREST],1,1):PaymentSchedule[[#This Row],[INTEREST]]),"")</f>
        <v>#VALUE!</v>
      </c>
    </row>
    <row r="281" spans="2:11">
      <c r="B281" s="10">
        <f ca="1">IF(LoanIsGood,IF(ROW()-ROW(PaymentSchedule[[#Headers],[PMT NO]])&gt;ScheduledNumberOfPayments,"",ROW()-ROW(PaymentSchedule[[#Headers],[PMT NO]])),"")</f>
        <v>265</v>
      </c>
      <c r="C281" s="12">
        <f ca="1">IF(PaymentSchedule[[#This Row],[PMT NO]]&lt;&gt;"",EOMONTH(LoanStartDate,ROW(PaymentSchedule[[#This Row],[PMT NO]])-ROW(PaymentSchedule[[#Headers],[PMT NO]])-2)+DAY(LoanStartDate),"")</f>
        <v>53998</v>
      </c>
      <c r="D28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1" s="14">
        <f ca="1">IF(PaymentSchedule[[#This Row],[PMT NO]]&lt;&gt;"",ScheduledPayment,"")</f>
        <v>1073.6432460242781</v>
      </c>
      <c r="F28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1" s="14" t="e">
        <f ca="1">IF(PaymentSchedule[[#This Row],[PMT NO]]&lt;&gt;"",PaymentSchedule[[#This Row],[TOTAL PAYMENT]]-PaymentSchedule[[#This Row],[INTEREST]],"")</f>
        <v>#VALUE!</v>
      </c>
      <c r="I281" s="14" t="e">
        <f ca="1">IF(PaymentSchedule[[#This Row],[PMT NO]]&lt;&gt;"",PaymentSchedule[[#This Row],[BEGINNING BALANCE]]*(InterestRate/PaymentsPerYear),"")</f>
        <v>#VALUE!</v>
      </c>
      <c r="J281" s="14" t="s">
        <v>32</v>
      </c>
      <c r="K281" s="14" t="e">
        <f ca="1">IF(PaymentSchedule[[#This Row],[PMT NO]]&lt;&gt;"",SUM(INDEX(PaymentSchedule[INTEREST],1,1):PaymentSchedule[[#This Row],[INTEREST]]),"")</f>
        <v>#VALUE!</v>
      </c>
    </row>
    <row r="282" spans="2:11">
      <c r="B282" s="10">
        <f ca="1">IF(LoanIsGood,IF(ROW()-ROW(PaymentSchedule[[#Headers],[PMT NO]])&gt;ScheduledNumberOfPayments,"",ROW()-ROW(PaymentSchedule[[#Headers],[PMT NO]])),"")</f>
        <v>266</v>
      </c>
      <c r="C282" s="12">
        <f ca="1">IF(PaymentSchedule[[#This Row],[PMT NO]]&lt;&gt;"",EOMONTH(LoanStartDate,ROW(PaymentSchedule[[#This Row],[PMT NO]])-ROW(PaymentSchedule[[#Headers],[PMT NO]])-2)+DAY(LoanStartDate),"")</f>
        <v>54028</v>
      </c>
      <c r="D28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2" s="14">
        <f ca="1">IF(PaymentSchedule[[#This Row],[PMT NO]]&lt;&gt;"",ScheduledPayment,"")</f>
        <v>1073.6432460242781</v>
      </c>
      <c r="F28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2" s="14" t="e">
        <f ca="1">IF(PaymentSchedule[[#This Row],[PMT NO]]&lt;&gt;"",PaymentSchedule[[#This Row],[TOTAL PAYMENT]]-PaymentSchedule[[#This Row],[INTEREST]],"")</f>
        <v>#VALUE!</v>
      </c>
      <c r="I282" s="14" t="e">
        <f ca="1">IF(PaymentSchedule[[#This Row],[PMT NO]]&lt;&gt;"",PaymentSchedule[[#This Row],[BEGINNING BALANCE]]*(InterestRate/PaymentsPerYear),"")</f>
        <v>#VALUE!</v>
      </c>
      <c r="J282" s="14" t="s">
        <v>32</v>
      </c>
      <c r="K282" s="14" t="e">
        <f ca="1">IF(PaymentSchedule[[#This Row],[PMT NO]]&lt;&gt;"",SUM(INDEX(PaymentSchedule[INTEREST],1,1):PaymentSchedule[[#This Row],[INTEREST]]),"")</f>
        <v>#VALUE!</v>
      </c>
    </row>
    <row r="283" spans="2:11">
      <c r="B283" s="10">
        <f ca="1">IF(LoanIsGood,IF(ROW()-ROW(PaymentSchedule[[#Headers],[PMT NO]])&gt;ScheduledNumberOfPayments,"",ROW()-ROW(PaymentSchedule[[#Headers],[PMT NO]])),"")</f>
        <v>267</v>
      </c>
      <c r="C283" s="12">
        <f ca="1">IF(PaymentSchedule[[#This Row],[PMT NO]]&lt;&gt;"",EOMONTH(LoanStartDate,ROW(PaymentSchedule[[#This Row],[PMT NO]])-ROW(PaymentSchedule[[#Headers],[PMT NO]])-2)+DAY(LoanStartDate),"")</f>
        <v>54059</v>
      </c>
      <c r="D28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3" s="14">
        <f ca="1">IF(PaymentSchedule[[#This Row],[PMT NO]]&lt;&gt;"",ScheduledPayment,"")</f>
        <v>1073.6432460242781</v>
      </c>
      <c r="F28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3" s="14" t="e">
        <f ca="1">IF(PaymentSchedule[[#This Row],[PMT NO]]&lt;&gt;"",PaymentSchedule[[#This Row],[TOTAL PAYMENT]]-PaymentSchedule[[#This Row],[INTEREST]],"")</f>
        <v>#VALUE!</v>
      </c>
      <c r="I283" s="14" t="e">
        <f ca="1">IF(PaymentSchedule[[#This Row],[PMT NO]]&lt;&gt;"",PaymentSchedule[[#This Row],[BEGINNING BALANCE]]*(InterestRate/PaymentsPerYear),"")</f>
        <v>#VALUE!</v>
      </c>
      <c r="J283" s="14" t="s">
        <v>32</v>
      </c>
      <c r="K283" s="14" t="e">
        <f ca="1">IF(PaymentSchedule[[#This Row],[PMT NO]]&lt;&gt;"",SUM(INDEX(PaymentSchedule[INTEREST],1,1):PaymentSchedule[[#This Row],[INTEREST]]),"")</f>
        <v>#VALUE!</v>
      </c>
    </row>
    <row r="284" spans="2:11">
      <c r="B284" s="10">
        <f ca="1">IF(LoanIsGood,IF(ROW()-ROW(PaymentSchedule[[#Headers],[PMT NO]])&gt;ScheduledNumberOfPayments,"",ROW()-ROW(PaymentSchedule[[#Headers],[PMT NO]])),"")</f>
        <v>268</v>
      </c>
      <c r="C284" s="12">
        <f ca="1">IF(PaymentSchedule[[#This Row],[PMT NO]]&lt;&gt;"",EOMONTH(LoanStartDate,ROW(PaymentSchedule[[#This Row],[PMT NO]])-ROW(PaymentSchedule[[#Headers],[PMT NO]])-2)+DAY(LoanStartDate),"")</f>
        <v>54090</v>
      </c>
      <c r="D28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4" s="14">
        <f ca="1">IF(PaymentSchedule[[#This Row],[PMT NO]]&lt;&gt;"",ScheduledPayment,"")</f>
        <v>1073.6432460242781</v>
      </c>
      <c r="F28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4" s="14" t="e">
        <f ca="1">IF(PaymentSchedule[[#This Row],[PMT NO]]&lt;&gt;"",PaymentSchedule[[#This Row],[TOTAL PAYMENT]]-PaymentSchedule[[#This Row],[INTEREST]],"")</f>
        <v>#VALUE!</v>
      </c>
      <c r="I284" s="14" t="e">
        <f ca="1">IF(PaymentSchedule[[#This Row],[PMT NO]]&lt;&gt;"",PaymentSchedule[[#This Row],[BEGINNING BALANCE]]*(InterestRate/PaymentsPerYear),"")</f>
        <v>#VALUE!</v>
      </c>
      <c r="J284" s="14" t="s">
        <v>32</v>
      </c>
      <c r="K284" s="14" t="e">
        <f ca="1">IF(PaymentSchedule[[#This Row],[PMT NO]]&lt;&gt;"",SUM(INDEX(PaymentSchedule[INTEREST],1,1):PaymentSchedule[[#This Row],[INTEREST]]),"")</f>
        <v>#VALUE!</v>
      </c>
    </row>
    <row r="285" spans="2:11">
      <c r="B285" s="10">
        <f ca="1">IF(LoanIsGood,IF(ROW()-ROW(PaymentSchedule[[#Headers],[PMT NO]])&gt;ScheduledNumberOfPayments,"",ROW()-ROW(PaymentSchedule[[#Headers],[PMT NO]])),"")</f>
        <v>269</v>
      </c>
      <c r="C285" s="12">
        <f ca="1">IF(PaymentSchedule[[#This Row],[PMT NO]]&lt;&gt;"",EOMONTH(LoanStartDate,ROW(PaymentSchedule[[#This Row],[PMT NO]])-ROW(PaymentSchedule[[#Headers],[PMT NO]])-2)+DAY(LoanStartDate),"")</f>
        <v>54119</v>
      </c>
      <c r="D28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5" s="14">
        <f ca="1">IF(PaymentSchedule[[#This Row],[PMT NO]]&lt;&gt;"",ScheduledPayment,"")</f>
        <v>1073.6432460242781</v>
      </c>
      <c r="F28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5" s="14" t="e">
        <f ca="1">IF(PaymentSchedule[[#This Row],[PMT NO]]&lt;&gt;"",PaymentSchedule[[#This Row],[TOTAL PAYMENT]]-PaymentSchedule[[#This Row],[INTEREST]],"")</f>
        <v>#VALUE!</v>
      </c>
      <c r="I285" s="14" t="e">
        <f ca="1">IF(PaymentSchedule[[#This Row],[PMT NO]]&lt;&gt;"",PaymentSchedule[[#This Row],[BEGINNING BALANCE]]*(InterestRate/PaymentsPerYear),"")</f>
        <v>#VALUE!</v>
      </c>
      <c r="J285" s="14" t="s">
        <v>32</v>
      </c>
      <c r="K285" s="14" t="e">
        <f ca="1">IF(PaymentSchedule[[#This Row],[PMT NO]]&lt;&gt;"",SUM(INDEX(PaymentSchedule[INTEREST],1,1):PaymentSchedule[[#This Row],[INTEREST]]),"")</f>
        <v>#VALUE!</v>
      </c>
    </row>
    <row r="286" spans="2:11">
      <c r="B286" s="10">
        <f ca="1">IF(LoanIsGood,IF(ROW()-ROW(PaymentSchedule[[#Headers],[PMT NO]])&gt;ScheduledNumberOfPayments,"",ROW()-ROW(PaymentSchedule[[#Headers],[PMT NO]])),"")</f>
        <v>270</v>
      </c>
      <c r="C286" s="12">
        <f ca="1">IF(PaymentSchedule[[#This Row],[PMT NO]]&lt;&gt;"",EOMONTH(LoanStartDate,ROW(PaymentSchedule[[#This Row],[PMT NO]])-ROW(PaymentSchedule[[#Headers],[PMT NO]])-2)+DAY(LoanStartDate),"")</f>
        <v>54150</v>
      </c>
      <c r="D28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6" s="14">
        <f ca="1">IF(PaymentSchedule[[#This Row],[PMT NO]]&lt;&gt;"",ScheduledPayment,"")</f>
        <v>1073.6432460242781</v>
      </c>
      <c r="F28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6" s="14" t="e">
        <f ca="1">IF(PaymentSchedule[[#This Row],[PMT NO]]&lt;&gt;"",PaymentSchedule[[#This Row],[TOTAL PAYMENT]]-PaymentSchedule[[#This Row],[INTEREST]],"")</f>
        <v>#VALUE!</v>
      </c>
      <c r="I286" s="14" t="e">
        <f ca="1">IF(PaymentSchedule[[#This Row],[PMT NO]]&lt;&gt;"",PaymentSchedule[[#This Row],[BEGINNING BALANCE]]*(InterestRate/PaymentsPerYear),"")</f>
        <v>#VALUE!</v>
      </c>
      <c r="J286" s="14" t="s">
        <v>32</v>
      </c>
      <c r="K286" s="14" t="e">
        <f ca="1">IF(PaymentSchedule[[#This Row],[PMT NO]]&lt;&gt;"",SUM(INDEX(PaymentSchedule[INTEREST],1,1):PaymentSchedule[[#This Row],[INTEREST]]),"")</f>
        <v>#VALUE!</v>
      </c>
    </row>
    <row r="287" spans="2:11">
      <c r="B287" s="10">
        <f ca="1">IF(LoanIsGood,IF(ROW()-ROW(PaymentSchedule[[#Headers],[PMT NO]])&gt;ScheduledNumberOfPayments,"",ROW()-ROW(PaymentSchedule[[#Headers],[PMT NO]])),"")</f>
        <v>271</v>
      </c>
      <c r="C287" s="12">
        <f ca="1">IF(PaymentSchedule[[#This Row],[PMT NO]]&lt;&gt;"",EOMONTH(LoanStartDate,ROW(PaymentSchedule[[#This Row],[PMT NO]])-ROW(PaymentSchedule[[#Headers],[PMT NO]])-2)+DAY(LoanStartDate),"")</f>
        <v>54180</v>
      </c>
      <c r="D28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7" s="14">
        <f ca="1">IF(PaymentSchedule[[#This Row],[PMT NO]]&lt;&gt;"",ScheduledPayment,"")</f>
        <v>1073.6432460242781</v>
      </c>
      <c r="F28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7" s="14" t="e">
        <f ca="1">IF(PaymentSchedule[[#This Row],[PMT NO]]&lt;&gt;"",PaymentSchedule[[#This Row],[TOTAL PAYMENT]]-PaymentSchedule[[#This Row],[INTEREST]],"")</f>
        <v>#VALUE!</v>
      </c>
      <c r="I287" s="14" t="e">
        <f ca="1">IF(PaymentSchedule[[#This Row],[PMT NO]]&lt;&gt;"",PaymentSchedule[[#This Row],[BEGINNING BALANCE]]*(InterestRate/PaymentsPerYear),"")</f>
        <v>#VALUE!</v>
      </c>
      <c r="J287" s="14" t="s">
        <v>32</v>
      </c>
      <c r="K287" s="14" t="e">
        <f ca="1">IF(PaymentSchedule[[#This Row],[PMT NO]]&lt;&gt;"",SUM(INDEX(PaymentSchedule[INTEREST],1,1):PaymentSchedule[[#This Row],[INTEREST]]),"")</f>
        <v>#VALUE!</v>
      </c>
    </row>
    <row r="288" spans="2:11">
      <c r="B288" s="10">
        <f ca="1">IF(LoanIsGood,IF(ROW()-ROW(PaymentSchedule[[#Headers],[PMT NO]])&gt;ScheduledNumberOfPayments,"",ROW()-ROW(PaymentSchedule[[#Headers],[PMT NO]])),"")</f>
        <v>272</v>
      </c>
      <c r="C288" s="12">
        <f ca="1">IF(PaymentSchedule[[#This Row],[PMT NO]]&lt;&gt;"",EOMONTH(LoanStartDate,ROW(PaymentSchedule[[#This Row],[PMT NO]])-ROW(PaymentSchedule[[#Headers],[PMT NO]])-2)+DAY(LoanStartDate),"")</f>
        <v>54211</v>
      </c>
      <c r="D28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8" s="14">
        <f ca="1">IF(PaymentSchedule[[#This Row],[PMT NO]]&lt;&gt;"",ScheduledPayment,"")</f>
        <v>1073.6432460242781</v>
      </c>
      <c r="F28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8" s="14" t="e">
        <f ca="1">IF(PaymentSchedule[[#This Row],[PMT NO]]&lt;&gt;"",PaymentSchedule[[#This Row],[TOTAL PAYMENT]]-PaymentSchedule[[#This Row],[INTEREST]],"")</f>
        <v>#VALUE!</v>
      </c>
      <c r="I288" s="14" t="e">
        <f ca="1">IF(PaymentSchedule[[#This Row],[PMT NO]]&lt;&gt;"",PaymentSchedule[[#This Row],[BEGINNING BALANCE]]*(InterestRate/PaymentsPerYear),"")</f>
        <v>#VALUE!</v>
      </c>
      <c r="J288" s="14" t="s">
        <v>32</v>
      </c>
      <c r="K288" s="14" t="e">
        <f ca="1">IF(PaymentSchedule[[#This Row],[PMT NO]]&lt;&gt;"",SUM(INDEX(PaymentSchedule[INTEREST],1,1):PaymentSchedule[[#This Row],[INTEREST]]),"")</f>
        <v>#VALUE!</v>
      </c>
    </row>
    <row r="289" spans="2:11">
      <c r="B289" s="10">
        <f ca="1">IF(LoanIsGood,IF(ROW()-ROW(PaymentSchedule[[#Headers],[PMT NO]])&gt;ScheduledNumberOfPayments,"",ROW()-ROW(PaymentSchedule[[#Headers],[PMT NO]])),"")</f>
        <v>273</v>
      </c>
      <c r="C289" s="12">
        <f ca="1">IF(PaymentSchedule[[#This Row],[PMT NO]]&lt;&gt;"",EOMONTH(LoanStartDate,ROW(PaymentSchedule[[#This Row],[PMT NO]])-ROW(PaymentSchedule[[#Headers],[PMT NO]])-2)+DAY(LoanStartDate),"")</f>
        <v>54241</v>
      </c>
      <c r="D28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89" s="14">
        <f ca="1">IF(PaymentSchedule[[#This Row],[PMT NO]]&lt;&gt;"",ScheduledPayment,"")</f>
        <v>1073.6432460242781</v>
      </c>
      <c r="F28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8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89" s="14" t="e">
        <f ca="1">IF(PaymentSchedule[[#This Row],[PMT NO]]&lt;&gt;"",PaymentSchedule[[#This Row],[TOTAL PAYMENT]]-PaymentSchedule[[#This Row],[INTEREST]],"")</f>
        <v>#VALUE!</v>
      </c>
      <c r="I289" s="14" t="e">
        <f ca="1">IF(PaymentSchedule[[#This Row],[PMT NO]]&lt;&gt;"",PaymentSchedule[[#This Row],[BEGINNING BALANCE]]*(InterestRate/PaymentsPerYear),"")</f>
        <v>#VALUE!</v>
      </c>
      <c r="J289" s="14" t="s">
        <v>32</v>
      </c>
      <c r="K289" s="14" t="e">
        <f ca="1">IF(PaymentSchedule[[#This Row],[PMT NO]]&lt;&gt;"",SUM(INDEX(PaymentSchedule[INTEREST],1,1):PaymentSchedule[[#This Row],[INTEREST]]),"")</f>
        <v>#VALUE!</v>
      </c>
    </row>
    <row r="290" spans="2:11">
      <c r="B290" s="10">
        <f ca="1">IF(LoanIsGood,IF(ROW()-ROW(PaymentSchedule[[#Headers],[PMT NO]])&gt;ScheduledNumberOfPayments,"",ROW()-ROW(PaymentSchedule[[#Headers],[PMT NO]])),"")</f>
        <v>274</v>
      </c>
      <c r="C290" s="12">
        <f ca="1">IF(PaymentSchedule[[#This Row],[PMT NO]]&lt;&gt;"",EOMONTH(LoanStartDate,ROW(PaymentSchedule[[#This Row],[PMT NO]])-ROW(PaymentSchedule[[#Headers],[PMT NO]])-2)+DAY(LoanStartDate),"")</f>
        <v>54272</v>
      </c>
      <c r="D29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0" s="14">
        <f ca="1">IF(PaymentSchedule[[#This Row],[PMT NO]]&lt;&gt;"",ScheduledPayment,"")</f>
        <v>1073.6432460242781</v>
      </c>
      <c r="F29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0" s="14" t="e">
        <f ca="1">IF(PaymentSchedule[[#This Row],[PMT NO]]&lt;&gt;"",PaymentSchedule[[#This Row],[TOTAL PAYMENT]]-PaymentSchedule[[#This Row],[INTEREST]],"")</f>
        <v>#VALUE!</v>
      </c>
      <c r="I290" s="14" t="e">
        <f ca="1">IF(PaymentSchedule[[#This Row],[PMT NO]]&lt;&gt;"",PaymentSchedule[[#This Row],[BEGINNING BALANCE]]*(InterestRate/PaymentsPerYear),"")</f>
        <v>#VALUE!</v>
      </c>
      <c r="J290" s="14" t="s">
        <v>32</v>
      </c>
      <c r="K290" s="14" t="e">
        <f ca="1">IF(PaymentSchedule[[#This Row],[PMT NO]]&lt;&gt;"",SUM(INDEX(PaymentSchedule[INTEREST],1,1):PaymentSchedule[[#This Row],[INTEREST]]),"")</f>
        <v>#VALUE!</v>
      </c>
    </row>
    <row r="291" spans="2:11">
      <c r="B291" s="10">
        <f ca="1">IF(LoanIsGood,IF(ROW()-ROW(PaymentSchedule[[#Headers],[PMT NO]])&gt;ScheduledNumberOfPayments,"",ROW()-ROW(PaymentSchedule[[#Headers],[PMT NO]])),"")</f>
        <v>275</v>
      </c>
      <c r="C291" s="12">
        <f ca="1">IF(PaymentSchedule[[#This Row],[PMT NO]]&lt;&gt;"",EOMONTH(LoanStartDate,ROW(PaymentSchedule[[#This Row],[PMT NO]])-ROW(PaymentSchedule[[#Headers],[PMT NO]])-2)+DAY(LoanStartDate),"")</f>
        <v>54303</v>
      </c>
      <c r="D29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1" s="14">
        <f ca="1">IF(PaymentSchedule[[#This Row],[PMT NO]]&lt;&gt;"",ScheduledPayment,"")</f>
        <v>1073.6432460242781</v>
      </c>
      <c r="F29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1" s="14" t="e">
        <f ca="1">IF(PaymentSchedule[[#This Row],[PMT NO]]&lt;&gt;"",PaymentSchedule[[#This Row],[TOTAL PAYMENT]]-PaymentSchedule[[#This Row],[INTEREST]],"")</f>
        <v>#VALUE!</v>
      </c>
      <c r="I291" s="14" t="e">
        <f ca="1">IF(PaymentSchedule[[#This Row],[PMT NO]]&lt;&gt;"",PaymentSchedule[[#This Row],[BEGINNING BALANCE]]*(InterestRate/PaymentsPerYear),"")</f>
        <v>#VALUE!</v>
      </c>
      <c r="J291" s="14" t="s">
        <v>32</v>
      </c>
      <c r="K291" s="14" t="e">
        <f ca="1">IF(PaymentSchedule[[#This Row],[PMT NO]]&lt;&gt;"",SUM(INDEX(PaymentSchedule[INTEREST],1,1):PaymentSchedule[[#This Row],[INTEREST]]),"")</f>
        <v>#VALUE!</v>
      </c>
    </row>
    <row r="292" spans="2:11">
      <c r="B292" s="10">
        <f ca="1">IF(LoanIsGood,IF(ROW()-ROW(PaymentSchedule[[#Headers],[PMT NO]])&gt;ScheduledNumberOfPayments,"",ROW()-ROW(PaymentSchedule[[#Headers],[PMT NO]])),"")</f>
        <v>276</v>
      </c>
      <c r="C292" s="12">
        <f ca="1">IF(PaymentSchedule[[#This Row],[PMT NO]]&lt;&gt;"",EOMONTH(LoanStartDate,ROW(PaymentSchedule[[#This Row],[PMT NO]])-ROW(PaymentSchedule[[#Headers],[PMT NO]])-2)+DAY(LoanStartDate),"")</f>
        <v>54333</v>
      </c>
      <c r="D29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2" s="14">
        <f ca="1">IF(PaymentSchedule[[#This Row],[PMT NO]]&lt;&gt;"",ScheduledPayment,"")</f>
        <v>1073.6432460242781</v>
      </c>
      <c r="F29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2" s="14" t="e">
        <f ca="1">IF(PaymentSchedule[[#This Row],[PMT NO]]&lt;&gt;"",PaymentSchedule[[#This Row],[TOTAL PAYMENT]]-PaymentSchedule[[#This Row],[INTEREST]],"")</f>
        <v>#VALUE!</v>
      </c>
      <c r="I292" s="14" t="e">
        <f ca="1">IF(PaymentSchedule[[#This Row],[PMT NO]]&lt;&gt;"",PaymentSchedule[[#This Row],[BEGINNING BALANCE]]*(InterestRate/PaymentsPerYear),"")</f>
        <v>#VALUE!</v>
      </c>
      <c r="J292" s="14" t="s">
        <v>32</v>
      </c>
      <c r="K292" s="14" t="e">
        <f ca="1">IF(PaymentSchedule[[#This Row],[PMT NO]]&lt;&gt;"",SUM(INDEX(PaymentSchedule[INTEREST],1,1):PaymentSchedule[[#This Row],[INTEREST]]),"")</f>
        <v>#VALUE!</v>
      </c>
    </row>
    <row r="293" spans="2:11">
      <c r="B293" s="10">
        <f ca="1">IF(LoanIsGood,IF(ROW()-ROW(PaymentSchedule[[#Headers],[PMT NO]])&gt;ScheduledNumberOfPayments,"",ROW()-ROW(PaymentSchedule[[#Headers],[PMT NO]])),"")</f>
        <v>277</v>
      </c>
      <c r="C293" s="12">
        <f ca="1">IF(PaymentSchedule[[#This Row],[PMT NO]]&lt;&gt;"",EOMONTH(LoanStartDate,ROW(PaymentSchedule[[#This Row],[PMT NO]])-ROW(PaymentSchedule[[#Headers],[PMT NO]])-2)+DAY(LoanStartDate),"")</f>
        <v>54364</v>
      </c>
      <c r="D29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3" s="14">
        <f ca="1">IF(PaymentSchedule[[#This Row],[PMT NO]]&lt;&gt;"",ScheduledPayment,"")</f>
        <v>1073.6432460242781</v>
      </c>
      <c r="F29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3" s="14" t="e">
        <f ca="1">IF(PaymentSchedule[[#This Row],[PMT NO]]&lt;&gt;"",PaymentSchedule[[#This Row],[TOTAL PAYMENT]]-PaymentSchedule[[#This Row],[INTEREST]],"")</f>
        <v>#VALUE!</v>
      </c>
      <c r="I293" s="14" t="e">
        <f ca="1">IF(PaymentSchedule[[#This Row],[PMT NO]]&lt;&gt;"",PaymentSchedule[[#This Row],[BEGINNING BALANCE]]*(InterestRate/PaymentsPerYear),"")</f>
        <v>#VALUE!</v>
      </c>
      <c r="J293" s="14" t="s">
        <v>32</v>
      </c>
      <c r="K293" s="14" t="e">
        <f ca="1">IF(PaymentSchedule[[#This Row],[PMT NO]]&lt;&gt;"",SUM(INDEX(PaymentSchedule[INTEREST],1,1):PaymentSchedule[[#This Row],[INTEREST]]),"")</f>
        <v>#VALUE!</v>
      </c>
    </row>
    <row r="294" spans="2:11">
      <c r="B294" s="10">
        <f ca="1">IF(LoanIsGood,IF(ROW()-ROW(PaymentSchedule[[#Headers],[PMT NO]])&gt;ScheduledNumberOfPayments,"",ROW()-ROW(PaymentSchedule[[#Headers],[PMT NO]])),"")</f>
        <v>278</v>
      </c>
      <c r="C294" s="12">
        <f ca="1">IF(PaymentSchedule[[#This Row],[PMT NO]]&lt;&gt;"",EOMONTH(LoanStartDate,ROW(PaymentSchedule[[#This Row],[PMT NO]])-ROW(PaymentSchedule[[#Headers],[PMT NO]])-2)+DAY(LoanStartDate),"")</f>
        <v>54394</v>
      </c>
      <c r="D29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4" s="14">
        <f ca="1">IF(PaymentSchedule[[#This Row],[PMT NO]]&lt;&gt;"",ScheduledPayment,"")</f>
        <v>1073.6432460242781</v>
      </c>
      <c r="F29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4" s="14" t="e">
        <f ca="1">IF(PaymentSchedule[[#This Row],[PMT NO]]&lt;&gt;"",PaymentSchedule[[#This Row],[TOTAL PAYMENT]]-PaymentSchedule[[#This Row],[INTEREST]],"")</f>
        <v>#VALUE!</v>
      </c>
      <c r="I294" s="14" t="e">
        <f ca="1">IF(PaymentSchedule[[#This Row],[PMT NO]]&lt;&gt;"",PaymentSchedule[[#This Row],[BEGINNING BALANCE]]*(InterestRate/PaymentsPerYear),"")</f>
        <v>#VALUE!</v>
      </c>
      <c r="J294" s="14" t="s">
        <v>32</v>
      </c>
      <c r="K294" s="14" t="e">
        <f ca="1">IF(PaymentSchedule[[#This Row],[PMT NO]]&lt;&gt;"",SUM(INDEX(PaymentSchedule[INTEREST],1,1):PaymentSchedule[[#This Row],[INTEREST]]),"")</f>
        <v>#VALUE!</v>
      </c>
    </row>
    <row r="295" spans="2:11">
      <c r="B295" s="10">
        <f ca="1">IF(LoanIsGood,IF(ROW()-ROW(PaymentSchedule[[#Headers],[PMT NO]])&gt;ScheduledNumberOfPayments,"",ROW()-ROW(PaymentSchedule[[#Headers],[PMT NO]])),"")</f>
        <v>279</v>
      </c>
      <c r="C295" s="12">
        <f ca="1">IF(PaymentSchedule[[#This Row],[PMT NO]]&lt;&gt;"",EOMONTH(LoanStartDate,ROW(PaymentSchedule[[#This Row],[PMT NO]])-ROW(PaymentSchedule[[#Headers],[PMT NO]])-2)+DAY(LoanStartDate),"")</f>
        <v>54425</v>
      </c>
      <c r="D29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5" s="14">
        <f ca="1">IF(PaymentSchedule[[#This Row],[PMT NO]]&lt;&gt;"",ScheduledPayment,"")</f>
        <v>1073.6432460242781</v>
      </c>
      <c r="F29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5" s="14" t="e">
        <f ca="1">IF(PaymentSchedule[[#This Row],[PMT NO]]&lt;&gt;"",PaymentSchedule[[#This Row],[TOTAL PAYMENT]]-PaymentSchedule[[#This Row],[INTEREST]],"")</f>
        <v>#VALUE!</v>
      </c>
      <c r="I295" s="14" t="e">
        <f ca="1">IF(PaymentSchedule[[#This Row],[PMT NO]]&lt;&gt;"",PaymentSchedule[[#This Row],[BEGINNING BALANCE]]*(InterestRate/PaymentsPerYear),"")</f>
        <v>#VALUE!</v>
      </c>
      <c r="J295" s="14" t="s">
        <v>32</v>
      </c>
      <c r="K295" s="14" t="e">
        <f ca="1">IF(PaymentSchedule[[#This Row],[PMT NO]]&lt;&gt;"",SUM(INDEX(PaymentSchedule[INTEREST],1,1):PaymentSchedule[[#This Row],[INTEREST]]),"")</f>
        <v>#VALUE!</v>
      </c>
    </row>
    <row r="296" spans="2:11">
      <c r="B296" s="10">
        <f ca="1">IF(LoanIsGood,IF(ROW()-ROW(PaymentSchedule[[#Headers],[PMT NO]])&gt;ScheduledNumberOfPayments,"",ROW()-ROW(PaymentSchedule[[#Headers],[PMT NO]])),"")</f>
        <v>280</v>
      </c>
      <c r="C296" s="12">
        <f ca="1">IF(PaymentSchedule[[#This Row],[PMT NO]]&lt;&gt;"",EOMONTH(LoanStartDate,ROW(PaymentSchedule[[#This Row],[PMT NO]])-ROW(PaymentSchedule[[#Headers],[PMT NO]])-2)+DAY(LoanStartDate),"")</f>
        <v>54456</v>
      </c>
      <c r="D29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6" s="14">
        <f ca="1">IF(PaymentSchedule[[#This Row],[PMT NO]]&lt;&gt;"",ScheduledPayment,"")</f>
        <v>1073.6432460242781</v>
      </c>
      <c r="F29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6" s="14" t="e">
        <f ca="1">IF(PaymentSchedule[[#This Row],[PMT NO]]&lt;&gt;"",PaymentSchedule[[#This Row],[TOTAL PAYMENT]]-PaymentSchedule[[#This Row],[INTEREST]],"")</f>
        <v>#VALUE!</v>
      </c>
      <c r="I296" s="14" t="e">
        <f ca="1">IF(PaymentSchedule[[#This Row],[PMT NO]]&lt;&gt;"",PaymentSchedule[[#This Row],[BEGINNING BALANCE]]*(InterestRate/PaymentsPerYear),"")</f>
        <v>#VALUE!</v>
      </c>
      <c r="J296" s="14" t="s">
        <v>32</v>
      </c>
      <c r="K296" s="14" t="e">
        <f ca="1">IF(PaymentSchedule[[#This Row],[PMT NO]]&lt;&gt;"",SUM(INDEX(PaymentSchedule[INTEREST],1,1):PaymentSchedule[[#This Row],[INTEREST]]),"")</f>
        <v>#VALUE!</v>
      </c>
    </row>
    <row r="297" spans="2:11">
      <c r="B297" s="10">
        <f ca="1">IF(LoanIsGood,IF(ROW()-ROW(PaymentSchedule[[#Headers],[PMT NO]])&gt;ScheduledNumberOfPayments,"",ROW()-ROW(PaymentSchedule[[#Headers],[PMT NO]])),"")</f>
        <v>281</v>
      </c>
      <c r="C297" s="12">
        <f ca="1">IF(PaymentSchedule[[#This Row],[PMT NO]]&lt;&gt;"",EOMONTH(LoanStartDate,ROW(PaymentSchedule[[#This Row],[PMT NO]])-ROW(PaymentSchedule[[#Headers],[PMT NO]])-2)+DAY(LoanStartDate),"")</f>
        <v>54484</v>
      </c>
      <c r="D29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7" s="14">
        <f ca="1">IF(PaymentSchedule[[#This Row],[PMT NO]]&lt;&gt;"",ScheduledPayment,"")</f>
        <v>1073.6432460242781</v>
      </c>
      <c r="F29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7" s="14" t="e">
        <f ca="1">IF(PaymentSchedule[[#This Row],[PMT NO]]&lt;&gt;"",PaymentSchedule[[#This Row],[TOTAL PAYMENT]]-PaymentSchedule[[#This Row],[INTEREST]],"")</f>
        <v>#VALUE!</v>
      </c>
      <c r="I297" s="14" t="e">
        <f ca="1">IF(PaymentSchedule[[#This Row],[PMT NO]]&lt;&gt;"",PaymentSchedule[[#This Row],[BEGINNING BALANCE]]*(InterestRate/PaymentsPerYear),"")</f>
        <v>#VALUE!</v>
      </c>
      <c r="J297" s="14" t="s">
        <v>32</v>
      </c>
      <c r="K297" s="14" t="e">
        <f ca="1">IF(PaymentSchedule[[#This Row],[PMT NO]]&lt;&gt;"",SUM(INDEX(PaymentSchedule[INTEREST],1,1):PaymentSchedule[[#This Row],[INTEREST]]),"")</f>
        <v>#VALUE!</v>
      </c>
    </row>
    <row r="298" spans="2:11">
      <c r="B298" s="10">
        <f ca="1">IF(LoanIsGood,IF(ROW()-ROW(PaymentSchedule[[#Headers],[PMT NO]])&gt;ScheduledNumberOfPayments,"",ROW()-ROW(PaymentSchedule[[#Headers],[PMT NO]])),"")</f>
        <v>282</v>
      </c>
      <c r="C298" s="12">
        <f ca="1">IF(PaymentSchedule[[#This Row],[PMT NO]]&lt;&gt;"",EOMONTH(LoanStartDate,ROW(PaymentSchedule[[#This Row],[PMT NO]])-ROW(PaymentSchedule[[#Headers],[PMT NO]])-2)+DAY(LoanStartDate),"")</f>
        <v>54515</v>
      </c>
      <c r="D29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8" s="14">
        <f ca="1">IF(PaymentSchedule[[#This Row],[PMT NO]]&lt;&gt;"",ScheduledPayment,"")</f>
        <v>1073.6432460242781</v>
      </c>
      <c r="F29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8" s="14" t="e">
        <f ca="1">IF(PaymentSchedule[[#This Row],[PMT NO]]&lt;&gt;"",PaymentSchedule[[#This Row],[TOTAL PAYMENT]]-PaymentSchedule[[#This Row],[INTEREST]],"")</f>
        <v>#VALUE!</v>
      </c>
      <c r="I298" s="14" t="e">
        <f ca="1">IF(PaymentSchedule[[#This Row],[PMT NO]]&lt;&gt;"",PaymentSchedule[[#This Row],[BEGINNING BALANCE]]*(InterestRate/PaymentsPerYear),"")</f>
        <v>#VALUE!</v>
      </c>
      <c r="J298" s="14" t="s">
        <v>32</v>
      </c>
      <c r="K298" s="14" t="e">
        <f ca="1">IF(PaymentSchedule[[#This Row],[PMT NO]]&lt;&gt;"",SUM(INDEX(PaymentSchedule[INTEREST],1,1):PaymentSchedule[[#This Row],[INTEREST]]),"")</f>
        <v>#VALUE!</v>
      </c>
    </row>
    <row r="299" spans="2:11">
      <c r="B299" s="10">
        <f ca="1">IF(LoanIsGood,IF(ROW()-ROW(PaymentSchedule[[#Headers],[PMT NO]])&gt;ScheduledNumberOfPayments,"",ROW()-ROW(PaymentSchedule[[#Headers],[PMT NO]])),"")</f>
        <v>283</v>
      </c>
      <c r="C299" s="12">
        <f ca="1">IF(PaymentSchedule[[#This Row],[PMT NO]]&lt;&gt;"",EOMONTH(LoanStartDate,ROW(PaymentSchedule[[#This Row],[PMT NO]])-ROW(PaymentSchedule[[#Headers],[PMT NO]])-2)+DAY(LoanStartDate),"")</f>
        <v>54545</v>
      </c>
      <c r="D29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299" s="14">
        <f ca="1">IF(PaymentSchedule[[#This Row],[PMT NO]]&lt;&gt;"",ScheduledPayment,"")</f>
        <v>1073.6432460242781</v>
      </c>
      <c r="F29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9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299" s="14" t="e">
        <f ca="1">IF(PaymentSchedule[[#This Row],[PMT NO]]&lt;&gt;"",PaymentSchedule[[#This Row],[TOTAL PAYMENT]]-PaymentSchedule[[#This Row],[INTEREST]],"")</f>
        <v>#VALUE!</v>
      </c>
      <c r="I299" s="14" t="e">
        <f ca="1">IF(PaymentSchedule[[#This Row],[PMT NO]]&lt;&gt;"",PaymentSchedule[[#This Row],[BEGINNING BALANCE]]*(InterestRate/PaymentsPerYear),"")</f>
        <v>#VALUE!</v>
      </c>
      <c r="J299" s="14" t="s">
        <v>32</v>
      </c>
      <c r="K299" s="14" t="e">
        <f ca="1">IF(PaymentSchedule[[#This Row],[PMT NO]]&lt;&gt;"",SUM(INDEX(PaymentSchedule[INTEREST],1,1):PaymentSchedule[[#This Row],[INTEREST]]),"")</f>
        <v>#VALUE!</v>
      </c>
    </row>
    <row r="300" spans="2:11">
      <c r="B300" s="10">
        <f ca="1">IF(LoanIsGood,IF(ROW()-ROW(PaymentSchedule[[#Headers],[PMT NO]])&gt;ScheduledNumberOfPayments,"",ROW()-ROW(PaymentSchedule[[#Headers],[PMT NO]])),"")</f>
        <v>284</v>
      </c>
      <c r="C300" s="12">
        <f ca="1">IF(PaymentSchedule[[#This Row],[PMT NO]]&lt;&gt;"",EOMONTH(LoanStartDate,ROW(PaymentSchedule[[#This Row],[PMT NO]])-ROW(PaymentSchedule[[#Headers],[PMT NO]])-2)+DAY(LoanStartDate),"")</f>
        <v>54576</v>
      </c>
      <c r="D30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0" s="14">
        <f ca="1">IF(PaymentSchedule[[#This Row],[PMT NO]]&lt;&gt;"",ScheduledPayment,"")</f>
        <v>1073.6432460242781</v>
      </c>
      <c r="F30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0" s="14" t="e">
        <f ca="1">IF(PaymentSchedule[[#This Row],[PMT NO]]&lt;&gt;"",PaymentSchedule[[#This Row],[TOTAL PAYMENT]]-PaymentSchedule[[#This Row],[INTEREST]],"")</f>
        <v>#VALUE!</v>
      </c>
      <c r="I300" s="14" t="e">
        <f ca="1">IF(PaymentSchedule[[#This Row],[PMT NO]]&lt;&gt;"",PaymentSchedule[[#This Row],[BEGINNING BALANCE]]*(InterestRate/PaymentsPerYear),"")</f>
        <v>#VALUE!</v>
      </c>
      <c r="J300" s="14" t="s">
        <v>32</v>
      </c>
      <c r="K300" s="14" t="e">
        <f ca="1">IF(PaymentSchedule[[#This Row],[PMT NO]]&lt;&gt;"",SUM(INDEX(PaymentSchedule[INTEREST],1,1):PaymentSchedule[[#This Row],[INTEREST]]),"")</f>
        <v>#VALUE!</v>
      </c>
    </row>
    <row r="301" spans="2:11">
      <c r="B301" s="10">
        <f ca="1">IF(LoanIsGood,IF(ROW()-ROW(PaymentSchedule[[#Headers],[PMT NO]])&gt;ScheduledNumberOfPayments,"",ROW()-ROW(PaymentSchedule[[#Headers],[PMT NO]])),"")</f>
        <v>285</v>
      </c>
      <c r="C301" s="12">
        <f ca="1">IF(PaymentSchedule[[#This Row],[PMT NO]]&lt;&gt;"",EOMONTH(LoanStartDate,ROW(PaymentSchedule[[#This Row],[PMT NO]])-ROW(PaymentSchedule[[#Headers],[PMT NO]])-2)+DAY(LoanStartDate),"")</f>
        <v>54606</v>
      </c>
      <c r="D30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1" s="14">
        <f ca="1">IF(PaymentSchedule[[#This Row],[PMT NO]]&lt;&gt;"",ScheduledPayment,"")</f>
        <v>1073.6432460242781</v>
      </c>
      <c r="F30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1" s="14" t="e">
        <f ca="1">IF(PaymentSchedule[[#This Row],[PMT NO]]&lt;&gt;"",PaymentSchedule[[#This Row],[TOTAL PAYMENT]]-PaymentSchedule[[#This Row],[INTEREST]],"")</f>
        <v>#VALUE!</v>
      </c>
      <c r="I301" s="14" t="e">
        <f ca="1">IF(PaymentSchedule[[#This Row],[PMT NO]]&lt;&gt;"",PaymentSchedule[[#This Row],[BEGINNING BALANCE]]*(InterestRate/PaymentsPerYear),"")</f>
        <v>#VALUE!</v>
      </c>
      <c r="J301" s="14" t="s">
        <v>32</v>
      </c>
      <c r="K301" s="14" t="e">
        <f ca="1">IF(PaymentSchedule[[#This Row],[PMT NO]]&lt;&gt;"",SUM(INDEX(PaymentSchedule[INTEREST],1,1):PaymentSchedule[[#This Row],[INTEREST]]),"")</f>
        <v>#VALUE!</v>
      </c>
    </row>
    <row r="302" spans="2:11">
      <c r="B302" s="10">
        <f ca="1">IF(LoanIsGood,IF(ROW()-ROW(PaymentSchedule[[#Headers],[PMT NO]])&gt;ScheduledNumberOfPayments,"",ROW()-ROW(PaymentSchedule[[#Headers],[PMT NO]])),"")</f>
        <v>286</v>
      </c>
      <c r="C302" s="12">
        <f ca="1">IF(PaymentSchedule[[#This Row],[PMT NO]]&lt;&gt;"",EOMONTH(LoanStartDate,ROW(PaymentSchedule[[#This Row],[PMT NO]])-ROW(PaymentSchedule[[#Headers],[PMT NO]])-2)+DAY(LoanStartDate),"")</f>
        <v>54637</v>
      </c>
      <c r="D30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2" s="14">
        <f ca="1">IF(PaymentSchedule[[#This Row],[PMT NO]]&lt;&gt;"",ScheduledPayment,"")</f>
        <v>1073.6432460242781</v>
      </c>
      <c r="F30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2" s="14" t="e">
        <f ca="1">IF(PaymentSchedule[[#This Row],[PMT NO]]&lt;&gt;"",PaymentSchedule[[#This Row],[TOTAL PAYMENT]]-PaymentSchedule[[#This Row],[INTEREST]],"")</f>
        <v>#VALUE!</v>
      </c>
      <c r="I302" s="14" t="e">
        <f ca="1">IF(PaymentSchedule[[#This Row],[PMT NO]]&lt;&gt;"",PaymentSchedule[[#This Row],[BEGINNING BALANCE]]*(InterestRate/PaymentsPerYear),"")</f>
        <v>#VALUE!</v>
      </c>
      <c r="J302" s="14" t="s">
        <v>32</v>
      </c>
      <c r="K302" s="14" t="e">
        <f ca="1">IF(PaymentSchedule[[#This Row],[PMT NO]]&lt;&gt;"",SUM(INDEX(PaymentSchedule[INTEREST],1,1):PaymentSchedule[[#This Row],[INTEREST]]),"")</f>
        <v>#VALUE!</v>
      </c>
    </row>
    <row r="303" spans="2:11">
      <c r="B303" s="10">
        <f ca="1">IF(LoanIsGood,IF(ROW()-ROW(PaymentSchedule[[#Headers],[PMT NO]])&gt;ScheduledNumberOfPayments,"",ROW()-ROW(PaymentSchedule[[#Headers],[PMT NO]])),"")</f>
        <v>287</v>
      </c>
      <c r="C303" s="12">
        <f ca="1">IF(PaymentSchedule[[#This Row],[PMT NO]]&lt;&gt;"",EOMONTH(LoanStartDate,ROW(PaymentSchedule[[#This Row],[PMT NO]])-ROW(PaymentSchedule[[#Headers],[PMT NO]])-2)+DAY(LoanStartDate),"")</f>
        <v>54668</v>
      </c>
      <c r="D30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3" s="14">
        <f ca="1">IF(PaymentSchedule[[#This Row],[PMT NO]]&lt;&gt;"",ScheduledPayment,"")</f>
        <v>1073.6432460242781</v>
      </c>
      <c r="F30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3" s="14" t="e">
        <f ca="1">IF(PaymentSchedule[[#This Row],[PMT NO]]&lt;&gt;"",PaymentSchedule[[#This Row],[TOTAL PAYMENT]]-PaymentSchedule[[#This Row],[INTEREST]],"")</f>
        <v>#VALUE!</v>
      </c>
      <c r="I303" s="14" t="e">
        <f ca="1">IF(PaymentSchedule[[#This Row],[PMT NO]]&lt;&gt;"",PaymentSchedule[[#This Row],[BEGINNING BALANCE]]*(InterestRate/PaymentsPerYear),"")</f>
        <v>#VALUE!</v>
      </c>
      <c r="J303" s="14" t="s">
        <v>32</v>
      </c>
      <c r="K303" s="14" t="e">
        <f ca="1">IF(PaymentSchedule[[#This Row],[PMT NO]]&lt;&gt;"",SUM(INDEX(PaymentSchedule[INTEREST],1,1):PaymentSchedule[[#This Row],[INTEREST]]),"")</f>
        <v>#VALUE!</v>
      </c>
    </row>
    <row r="304" spans="2:11">
      <c r="B304" s="10">
        <f ca="1">IF(LoanIsGood,IF(ROW()-ROW(PaymentSchedule[[#Headers],[PMT NO]])&gt;ScheduledNumberOfPayments,"",ROW()-ROW(PaymentSchedule[[#Headers],[PMT NO]])),"")</f>
        <v>288</v>
      </c>
      <c r="C304" s="12">
        <f ca="1">IF(PaymentSchedule[[#This Row],[PMT NO]]&lt;&gt;"",EOMONTH(LoanStartDate,ROW(PaymentSchedule[[#This Row],[PMT NO]])-ROW(PaymentSchedule[[#Headers],[PMT NO]])-2)+DAY(LoanStartDate),"")</f>
        <v>54698</v>
      </c>
      <c r="D30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4" s="14">
        <f ca="1">IF(PaymentSchedule[[#This Row],[PMT NO]]&lt;&gt;"",ScheduledPayment,"")</f>
        <v>1073.6432460242781</v>
      </c>
      <c r="F30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4" s="14" t="e">
        <f ca="1">IF(PaymentSchedule[[#This Row],[PMT NO]]&lt;&gt;"",PaymentSchedule[[#This Row],[TOTAL PAYMENT]]-PaymentSchedule[[#This Row],[INTEREST]],"")</f>
        <v>#VALUE!</v>
      </c>
      <c r="I304" s="14" t="e">
        <f ca="1">IF(PaymentSchedule[[#This Row],[PMT NO]]&lt;&gt;"",PaymentSchedule[[#This Row],[BEGINNING BALANCE]]*(InterestRate/PaymentsPerYear),"")</f>
        <v>#VALUE!</v>
      </c>
      <c r="J304" s="14" t="s">
        <v>32</v>
      </c>
      <c r="K304" s="14" t="e">
        <f ca="1">IF(PaymentSchedule[[#This Row],[PMT NO]]&lt;&gt;"",SUM(INDEX(PaymentSchedule[INTEREST],1,1):PaymentSchedule[[#This Row],[INTEREST]]),"")</f>
        <v>#VALUE!</v>
      </c>
    </row>
    <row r="305" spans="2:11">
      <c r="B305" s="10">
        <f ca="1">IF(LoanIsGood,IF(ROW()-ROW(PaymentSchedule[[#Headers],[PMT NO]])&gt;ScheduledNumberOfPayments,"",ROW()-ROW(PaymentSchedule[[#Headers],[PMT NO]])),"")</f>
        <v>289</v>
      </c>
      <c r="C305" s="12">
        <f ca="1">IF(PaymentSchedule[[#This Row],[PMT NO]]&lt;&gt;"",EOMONTH(LoanStartDate,ROW(PaymentSchedule[[#This Row],[PMT NO]])-ROW(PaymentSchedule[[#Headers],[PMT NO]])-2)+DAY(LoanStartDate),"")</f>
        <v>54729</v>
      </c>
      <c r="D30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5" s="14">
        <f ca="1">IF(PaymentSchedule[[#This Row],[PMT NO]]&lt;&gt;"",ScheduledPayment,"")</f>
        <v>1073.6432460242781</v>
      </c>
      <c r="F30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5" s="14" t="e">
        <f ca="1">IF(PaymentSchedule[[#This Row],[PMT NO]]&lt;&gt;"",PaymentSchedule[[#This Row],[TOTAL PAYMENT]]-PaymentSchedule[[#This Row],[INTEREST]],"")</f>
        <v>#VALUE!</v>
      </c>
      <c r="I305" s="14" t="e">
        <f ca="1">IF(PaymentSchedule[[#This Row],[PMT NO]]&lt;&gt;"",PaymentSchedule[[#This Row],[BEGINNING BALANCE]]*(InterestRate/PaymentsPerYear),"")</f>
        <v>#VALUE!</v>
      </c>
      <c r="J305" s="14" t="s">
        <v>32</v>
      </c>
      <c r="K305" s="14" t="e">
        <f ca="1">IF(PaymentSchedule[[#This Row],[PMT NO]]&lt;&gt;"",SUM(INDEX(PaymentSchedule[INTEREST],1,1):PaymentSchedule[[#This Row],[INTEREST]]),"")</f>
        <v>#VALUE!</v>
      </c>
    </row>
    <row r="306" spans="2:11">
      <c r="B306" s="10">
        <f ca="1">IF(LoanIsGood,IF(ROW()-ROW(PaymentSchedule[[#Headers],[PMT NO]])&gt;ScheduledNumberOfPayments,"",ROW()-ROW(PaymentSchedule[[#Headers],[PMT NO]])),"")</f>
        <v>290</v>
      </c>
      <c r="C306" s="12">
        <f ca="1">IF(PaymentSchedule[[#This Row],[PMT NO]]&lt;&gt;"",EOMONTH(LoanStartDate,ROW(PaymentSchedule[[#This Row],[PMT NO]])-ROW(PaymentSchedule[[#Headers],[PMT NO]])-2)+DAY(LoanStartDate),"")</f>
        <v>54759</v>
      </c>
      <c r="D30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6" s="14">
        <f ca="1">IF(PaymentSchedule[[#This Row],[PMT NO]]&lt;&gt;"",ScheduledPayment,"")</f>
        <v>1073.6432460242781</v>
      </c>
      <c r="F30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6" s="14" t="e">
        <f ca="1">IF(PaymentSchedule[[#This Row],[PMT NO]]&lt;&gt;"",PaymentSchedule[[#This Row],[TOTAL PAYMENT]]-PaymentSchedule[[#This Row],[INTEREST]],"")</f>
        <v>#VALUE!</v>
      </c>
      <c r="I306" s="14" t="e">
        <f ca="1">IF(PaymentSchedule[[#This Row],[PMT NO]]&lt;&gt;"",PaymentSchedule[[#This Row],[BEGINNING BALANCE]]*(InterestRate/PaymentsPerYear),"")</f>
        <v>#VALUE!</v>
      </c>
      <c r="J306" s="14" t="s">
        <v>32</v>
      </c>
      <c r="K306" s="14" t="e">
        <f ca="1">IF(PaymentSchedule[[#This Row],[PMT NO]]&lt;&gt;"",SUM(INDEX(PaymentSchedule[INTEREST],1,1):PaymentSchedule[[#This Row],[INTEREST]]),"")</f>
        <v>#VALUE!</v>
      </c>
    </row>
    <row r="307" spans="2:11">
      <c r="B307" s="10">
        <f ca="1">IF(LoanIsGood,IF(ROW()-ROW(PaymentSchedule[[#Headers],[PMT NO]])&gt;ScheduledNumberOfPayments,"",ROW()-ROW(PaymentSchedule[[#Headers],[PMT NO]])),"")</f>
        <v>291</v>
      </c>
      <c r="C307" s="12">
        <f ca="1">IF(PaymentSchedule[[#This Row],[PMT NO]]&lt;&gt;"",EOMONTH(LoanStartDate,ROW(PaymentSchedule[[#This Row],[PMT NO]])-ROW(PaymentSchedule[[#Headers],[PMT NO]])-2)+DAY(LoanStartDate),"")</f>
        <v>54790</v>
      </c>
      <c r="D30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7" s="14">
        <f ca="1">IF(PaymentSchedule[[#This Row],[PMT NO]]&lt;&gt;"",ScheduledPayment,"")</f>
        <v>1073.6432460242781</v>
      </c>
      <c r="F30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7" s="14" t="e">
        <f ca="1">IF(PaymentSchedule[[#This Row],[PMT NO]]&lt;&gt;"",PaymentSchedule[[#This Row],[TOTAL PAYMENT]]-PaymentSchedule[[#This Row],[INTEREST]],"")</f>
        <v>#VALUE!</v>
      </c>
      <c r="I307" s="14" t="e">
        <f ca="1">IF(PaymentSchedule[[#This Row],[PMT NO]]&lt;&gt;"",PaymentSchedule[[#This Row],[BEGINNING BALANCE]]*(InterestRate/PaymentsPerYear),"")</f>
        <v>#VALUE!</v>
      </c>
      <c r="J307" s="14" t="s">
        <v>32</v>
      </c>
      <c r="K307" s="14" t="e">
        <f ca="1">IF(PaymentSchedule[[#This Row],[PMT NO]]&lt;&gt;"",SUM(INDEX(PaymentSchedule[INTEREST],1,1):PaymentSchedule[[#This Row],[INTEREST]]),"")</f>
        <v>#VALUE!</v>
      </c>
    </row>
    <row r="308" spans="2:11">
      <c r="B308" s="10">
        <f ca="1">IF(LoanIsGood,IF(ROW()-ROW(PaymentSchedule[[#Headers],[PMT NO]])&gt;ScheduledNumberOfPayments,"",ROW()-ROW(PaymentSchedule[[#Headers],[PMT NO]])),"")</f>
        <v>292</v>
      </c>
      <c r="C308" s="12">
        <f ca="1">IF(PaymentSchedule[[#This Row],[PMT NO]]&lt;&gt;"",EOMONTH(LoanStartDate,ROW(PaymentSchedule[[#This Row],[PMT NO]])-ROW(PaymentSchedule[[#Headers],[PMT NO]])-2)+DAY(LoanStartDate),"")</f>
        <v>54821</v>
      </c>
      <c r="D30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8" s="14">
        <f ca="1">IF(PaymentSchedule[[#This Row],[PMT NO]]&lt;&gt;"",ScheduledPayment,"")</f>
        <v>1073.6432460242781</v>
      </c>
      <c r="F30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8" s="14" t="e">
        <f ca="1">IF(PaymentSchedule[[#This Row],[PMT NO]]&lt;&gt;"",PaymentSchedule[[#This Row],[TOTAL PAYMENT]]-PaymentSchedule[[#This Row],[INTEREST]],"")</f>
        <v>#VALUE!</v>
      </c>
      <c r="I308" s="14" t="e">
        <f ca="1">IF(PaymentSchedule[[#This Row],[PMT NO]]&lt;&gt;"",PaymentSchedule[[#This Row],[BEGINNING BALANCE]]*(InterestRate/PaymentsPerYear),"")</f>
        <v>#VALUE!</v>
      </c>
      <c r="J308" s="14" t="s">
        <v>32</v>
      </c>
      <c r="K308" s="14" t="e">
        <f ca="1">IF(PaymentSchedule[[#This Row],[PMT NO]]&lt;&gt;"",SUM(INDEX(PaymentSchedule[INTEREST],1,1):PaymentSchedule[[#This Row],[INTEREST]]),"")</f>
        <v>#VALUE!</v>
      </c>
    </row>
    <row r="309" spans="2:11">
      <c r="B309" s="10">
        <f ca="1">IF(LoanIsGood,IF(ROW()-ROW(PaymentSchedule[[#Headers],[PMT NO]])&gt;ScheduledNumberOfPayments,"",ROW()-ROW(PaymentSchedule[[#Headers],[PMT NO]])),"")</f>
        <v>293</v>
      </c>
      <c r="C309" s="12">
        <f ca="1">IF(PaymentSchedule[[#This Row],[PMT NO]]&lt;&gt;"",EOMONTH(LoanStartDate,ROW(PaymentSchedule[[#This Row],[PMT NO]])-ROW(PaymentSchedule[[#Headers],[PMT NO]])-2)+DAY(LoanStartDate),"")</f>
        <v>54849</v>
      </c>
      <c r="D30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09" s="14">
        <f ca="1">IF(PaymentSchedule[[#This Row],[PMT NO]]&lt;&gt;"",ScheduledPayment,"")</f>
        <v>1073.6432460242781</v>
      </c>
      <c r="F30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0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09" s="14" t="e">
        <f ca="1">IF(PaymentSchedule[[#This Row],[PMT NO]]&lt;&gt;"",PaymentSchedule[[#This Row],[TOTAL PAYMENT]]-PaymentSchedule[[#This Row],[INTEREST]],"")</f>
        <v>#VALUE!</v>
      </c>
      <c r="I309" s="14" t="e">
        <f ca="1">IF(PaymentSchedule[[#This Row],[PMT NO]]&lt;&gt;"",PaymentSchedule[[#This Row],[BEGINNING BALANCE]]*(InterestRate/PaymentsPerYear),"")</f>
        <v>#VALUE!</v>
      </c>
      <c r="J309" s="14" t="s">
        <v>32</v>
      </c>
      <c r="K309" s="14" t="e">
        <f ca="1">IF(PaymentSchedule[[#This Row],[PMT NO]]&lt;&gt;"",SUM(INDEX(PaymentSchedule[INTEREST],1,1):PaymentSchedule[[#This Row],[INTEREST]]),"")</f>
        <v>#VALUE!</v>
      </c>
    </row>
    <row r="310" spans="2:11">
      <c r="B310" s="10">
        <f ca="1">IF(LoanIsGood,IF(ROW()-ROW(PaymentSchedule[[#Headers],[PMT NO]])&gt;ScheduledNumberOfPayments,"",ROW()-ROW(PaymentSchedule[[#Headers],[PMT NO]])),"")</f>
        <v>294</v>
      </c>
      <c r="C310" s="12">
        <f ca="1">IF(PaymentSchedule[[#This Row],[PMT NO]]&lt;&gt;"",EOMONTH(LoanStartDate,ROW(PaymentSchedule[[#This Row],[PMT NO]])-ROW(PaymentSchedule[[#Headers],[PMT NO]])-2)+DAY(LoanStartDate),"")</f>
        <v>54880</v>
      </c>
      <c r="D31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0" s="14">
        <f ca="1">IF(PaymentSchedule[[#This Row],[PMT NO]]&lt;&gt;"",ScheduledPayment,"")</f>
        <v>1073.6432460242781</v>
      </c>
      <c r="F31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0" s="14" t="e">
        <f ca="1">IF(PaymentSchedule[[#This Row],[PMT NO]]&lt;&gt;"",PaymentSchedule[[#This Row],[TOTAL PAYMENT]]-PaymentSchedule[[#This Row],[INTEREST]],"")</f>
        <v>#VALUE!</v>
      </c>
      <c r="I310" s="14" t="e">
        <f ca="1">IF(PaymentSchedule[[#This Row],[PMT NO]]&lt;&gt;"",PaymentSchedule[[#This Row],[BEGINNING BALANCE]]*(InterestRate/PaymentsPerYear),"")</f>
        <v>#VALUE!</v>
      </c>
      <c r="J310" s="14" t="s">
        <v>32</v>
      </c>
      <c r="K310" s="14" t="e">
        <f ca="1">IF(PaymentSchedule[[#This Row],[PMT NO]]&lt;&gt;"",SUM(INDEX(PaymentSchedule[INTEREST],1,1):PaymentSchedule[[#This Row],[INTEREST]]),"")</f>
        <v>#VALUE!</v>
      </c>
    </row>
    <row r="311" spans="2:11">
      <c r="B311" s="10">
        <f ca="1">IF(LoanIsGood,IF(ROW()-ROW(PaymentSchedule[[#Headers],[PMT NO]])&gt;ScheduledNumberOfPayments,"",ROW()-ROW(PaymentSchedule[[#Headers],[PMT NO]])),"")</f>
        <v>295</v>
      </c>
      <c r="C311" s="12">
        <f ca="1">IF(PaymentSchedule[[#This Row],[PMT NO]]&lt;&gt;"",EOMONTH(LoanStartDate,ROW(PaymentSchedule[[#This Row],[PMT NO]])-ROW(PaymentSchedule[[#Headers],[PMT NO]])-2)+DAY(LoanStartDate),"")</f>
        <v>54910</v>
      </c>
      <c r="D31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1" s="14">
        <f ca="1">IF(PaymentSchedule[[#This Row],[PMT NO]]&lt;&gt;"",ScheduledPayment,"")</f>
        <v>1073.6432460242781</v>
      </c>
      <c r="F31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1" s="14" t="e">
        <f ca="1">IF(PaymentSchedule[[#This Row],[PMT NO]]&lt;&gt;"",PaymentSchedule[[#This Row],[TOTAL PAYMENT]]-PaymentSchedule[[#This Row],[INTEREST]],"")</f>
        <v>#VALUE!</v>
      </c>
      <c r="I311" s="14" t="e">
        <f ca="1">IF(PaymentSchedule[[#This Row],[PMT NO]]&lt;&gt;"",PaymentSchedule[[#This Row],[BEGINNING BALANCE]]*(InterestRate/PaymentsPerYear),"")</f>
        <v>#VALUE!</v>
      </c>
      <c r="J311" s="14" t="s">
        <v>32</v>
      </c>
      <c r="K311" s="14" t="e">
        <f ca="1">IF(PaymentSchedule[[#This Row],[PMT NO]]&lt;&gt;"",SUM(INDEX(PaymentSchedule[INTEREST],1,1):PaymentSchedule[[#This Row],[INTEREST]]),"")</f>
        <v>#VALUE!</v>
      </c>
    </row>
    <row r="312" spans="2:11">
      <c r="B312" s="10">
        <f ca="1">IF(LoanIsGood,IF(ROW()-ROW(PaymentSchedule[[#Headers],[PMT NO]])&gt;ScheduledNumberOfPayments,"",ROW()-ROW(PaymentSchedule[[#Headers],[PMT NO]])),"")</f>
        <v>296</v>
      </c>
      <c r="C312" s="12">
        <f ca="1">IF(PaymentSchedule[[#This Row],[PMT NO]]&lt;&gt;"",EOMONTH(LoanStartDate,ROW(PaymentSchedule[[#This Row],[PMT NO]])-ROW(PaymentSchedule[[#Headers],[PMT NO]])-2)+DAY(LoanStartDate),"")</f>
        <v>54941</v>
      </c>
      <c r="D31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2" s="14">
        <f ca="1">IF(PaymentSchedule[[#This Row],[PMT NO]]&lt;&gt;"",ScheduledPayment,"")</f>
        <v>1073.6432460242781</v>
      </c>
      <c r="F31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2" s="14" t="e">
        <f ca="1">IF(PaymentSchedule[[#This Row],[PMT NO]]&lt;&gt;"",PaymentSchedule[[#This Row],[TOTAL PAYMENT]]-PaymentSchedule[[#This Row],[INTEREST]],"")</f>
        <v>#VALUE!</v>
      </c>
      <c r="I312" s="14" t="e">
        <f ca="1">IF(PaymentSchedule[[#This Row],[PMT NO]]&lt;&gt;"",PaymentSchedule[[#This Row],[BEGINNING BALANCE]]*(InterestRate/PaymentsPerYear),"")</f>
        <v>#VALUE!</v>
      </c>
      <c r="J312" s="14" t="s">
        <v>32</v>
      </c>
      <c r="K312" s="14" t="e">
        <f ca="1">IF(PaymentSchedule[[#This Row],[PMT NO]]&lt;&gt;"",SUM(INDEX(PaymentSchedule[INTEREST],1,1):PaymentSchedule[[#This Row],[INTEREST]]),"")</f>
        <v>#VALUE!</v>
      </c>
    </row>
    <row r="313" spans="2:11">
      <c r="B313" s="10">
        <f ca="1">IF(LoanIsGood,IF(ROW()-ROW(PaymentSchedule[[#Headers],[PMT NO]])&gt;ScheduledNumberOfPayments,"",ROW()-ROW(PaymentSchedule[[#Headers],[PMT NO]])),"")</f>
        <v>297</v>
      </c>
      <c r="C313" s="12">
        <f ca="1">IF(PaymentSchedule[[#This Row],[PMT NO]]&lt;&gt;"",EOMONTH(LoanStartDate,ROW(PaymentSchedule[[#This Row],[PMT NO]])-ROW(PaymentSchedule[[#Headers],[PMT NO]])-2)+DAY(LoanStartDate),"")</f>
        <v>54971</v>
      </c>
      <c r="D31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3" s="14">
        <f ca="1">IF(PaymentSchedule[[#This Row],[PMT NO]]&lt;&gt;"",ScheduledPayment,"")</f>
        <v>1073.6432460242781</v>
      </c>
      <c r="F31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3" s="14" t="e">
        <f ca="1">IF(PaymentSchedule[[#This Row],[PMT NO]]&lt;&gt;"",PaymentSchedule[[#This Row],[TOTAL PAYMENT]]-PaymentSchedule[[#This Row],[INTEREST]],"")</f>
        <v>#VALUE!</v>
      </c>
      <c r="I313" s="14" t="e">
        <f ca="1">IF(PaymentSchedule[[#This Row],[PMT NO]]&lt;&gt;"",PaymentSchedule[[#This Row],[BEGINNING BALANCE]]*(InterestRate/PaymentsPerYear),"")</f>
        <v>#VALUE!</v>
      </c>
      <c r="J313" s="14" t="s">
        <v>32</v>
      </c>
      <c r="K313" s="14" t="e">
        <f ca="1">IF(PaymentSchedule[[#This Row],[PMT NO]]&lt;&gt;"",SUM(INDEX(PaymentSchedule[INTEREST],1,1):PaymentSchedule[[#This Row],[INTEREST]]),"")</f>
        <v>#VALUE!</v>
      </c>
    </row>
    <row r="314" spans="2:11">
      <c r="B314" s="10">
        <f ca="1">IF(LoanIsGood,IF(ROW()-ROW(PaymentSchedule[[#Headers],[PMT NO]])&gt;ScheduledNumberOfPayments,"",ROW()-ROW(PaymentSchedule[[#Headers],[PMT NO]])),"")</f>
        <v>298</v>
      </c>
      <c r="C314" s="12">
        <f ca="1">IF(PaymentSchedule[[#This Row],[PMT NO]]&lt;&gt;"",EOMONTH(LoanStartDate,ROW(PaymentSchedule[[#This Row],[PMT NO]])-ROW(PaymentSchedule[[#Headers],[PMT NO]])-2)+DAY(LoanStartDate),"")</f>
        <v>55002</v>
      </c>
      <c r="D31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4" s="14">
        <f ca="1">IF(PaymentSchedule[[#This Row],[PMT NO]]&lt;&gt;"",ScheduledPayment,"")</f>
        <v>1073.6432460242781</v>
      </c>
      <c r="F31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4" s="14" t="e">
        <f ca="1">IF(PaymentSchedule[[#This Row],[PMT NO]]&lt;&gt;"",PaymentSchedule[[#This Row],[TOTAL PAYMENT]]-PaymentSchedule[[#This Row],[INTEREST]],"")</f>
        <v>#VALUE!</v>
      </c>
      <c r="I314" s="14" t="e">
        <f ca="1">IF(PaymentSchedule[[#This Row],[PMT NO]]&lt;&gt;"",PaymentSchedule[[#This Row],[BEGINNING BALANCE]]*(InterestRate/PaymentsPerYear),"")</f>
        <v>#VALUE!</v>
      </c>
      <c r="J314" s="14" t="s">
        <v>32</v>
      </c>
      <c r="K314" s="14" t="e">
        <f ca="1">IF(PaymentSchedule[[#This Row],[PMT NO]]&lt;&gt;"",SUM(INDEX(PaymentSchedule[INTEREST],1,1):PaymentSchedule[[#This Row],[INTEREST]]),"")</f>
        <v>#VALUE!</v>
      </c>
    </row>
    <row r="315" spans="2:11">
      <c r="B315" s="10">
        <f ca="1">IF(LoanIsGood,IF(ROW()-ROW(PaymentSchedule[[#Headers],[PMT NO]])&gt;ScheduledNumberOfPayments,"",ROW()-ROW(PaymentSchedule[[#Headers],[PMT NO]])),"")</f>
        <v>299</v>
      </c>
      <c r="C315" s="12">
        <f ca="1">IF(PaymentSchedule[[#This Row],[PMT NO]]&lt;&gt;"",EOMONTH(LoanStartDate,ROW(PaymentSchedule[[#This Row],[PMT NO]])-ROW(PaymentSchedule[[#Headers],[PMT NO]])-2)+DAY(LoanStartDate),"")</f>
        <v>55033</v>
      </c>
      <c r="D31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5" s="14">
        <f ca="1">IF(PaymentSchedule[[#This Row],[PMT NO]]&lt;&gt;"",ScheduledPayment,"")</f>
        <v>1073.6432460242781</v>
      </c>
      <c r="F31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5" s="14" t="e">
        <f ca="1">IF(PaymentSchedule[[#This Row],[PMT NO]]&lt;&gt;"",PaymentSchedule[[#This Row],[TOTAL PAYMENT]]-PaymentSchedule[[#This Row],[INTEREST]],"")</f>
        <v>#VALUE!</v>
      </c>
      <c r="I315" s="14" t="e">
        <f ca="1">IF(PaymentSchedule[[#This Row],[PMT NO]]&lt;&gt;"",PaymentSchedule[[#This Row],[BEGINNING BALANCE]]*(InterestRate/PaymentsPerYear),"")</f>
        <v>#VALUE!</v>
      </c>
      <c r="J315" s="14" t="s">
        <v>32</v>
      </c>
      <c r="K315" s="14" t="e">
        <f ca="1">IF(PaymentSchedule[[#This Row],[PMT NO]]&lt;&gt;"",SUM(INDEX(PaymentSchedule[INTEREST],1,1):PaymentSchedule[[#This Row],[INTEREST]]),"")</f>
        <v>#VALUE!</v>
      </c>
    </row>
    <row r="316" spans="2:11">
      <c r="B316" s="10">
        <f ca="1">IF(LoanIsGood,IF(ROW()-ROW(PaymentSchedule[[#Headers],[PMT NO]])&gt;ScheduledNumberOfPayments,"",ROW()-ROW(PaymentSchedule[[#Headers],[PMT NO]])),"")</f>
        <v>300</v>
      </c>
      <c r="C316" s="12">
        <f ca="1">IF(PaymentSchedule[[#This Row],[PMT NO]]&lt;&gt;"",EOMONTH(LoanStartDate,ROW(PaymentSchedule[[#This Row],[PMT NO]])-ROW(PaymentSchedule[[#Headers],[PMT NO]])-2)+DAY(LoanStartDate),"")</f>
        <v>55063</v>
      </c>
      <c r="D31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6" s="14">
        <f ca="1">IF(PaymentSchedule[[#This Row],[PMT NO]]&lt;&gt;"",ScheduledPayment,"")</f>
        <v>1073.6432460242781</v>
      </c>
      <c r="F31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6" s="14" t="e">
        <f ca="1">IF(PaymentSchedule[[#This Row],[PMT NO]]&lt;&gt;"",PaymentSchedule[[#This Row],[TOTAL PAYMENT]]-PaymentSchedule[[#This Row],[INTEREST]],"")</f>
        <v>#VALUE!</v>
      </c>
      <c r="I316" s="14" t="e">
        <f ca="1">IF(PaymentSchedule[[#This Row],[PMT NO]]&lt;&gt;"",PaymentSchedule[[#This Row],[BEGINNING BALANCE]]*(InterestRate/PaymentsPerYear),"")</f>
        <v>#VALUE!</v>
      </c>
      <c r="J316" s="14" t="s">
        <v>32</v>
      </c>
      <c r="K316" s="14" t="e">
        <f ca="1">IF(PaymentSchedule[[#This Row],[PMT NO]]&lt;&gt;"",SUM(INDEX(PaymentSchedule[INTEREST],1,1):PaymentSchedule[[#This Row],[INTEREST]]),"")</f>
        <v>#VALUE!</v>
      </c>
    </row>
    <row r="317" spans="2:11">
      <c r="B317" s="10">
        <f ca="1">IF(LoanIsGood,IF(ROW()-ROW(PaymentSchedule[[#Headers],[PMT NO]])&gt;ScheduledNumberOfPayments,"",ROW()-ROW(PaymentSchedule[[#Headers],[PMT NO]])),"")</f>
        <v>301</v>
      </c>
      <c r="C317" s="12">
        <f ca="1">IF(PaymentSchedule[[#This Row],[PMT NO]]&lt;&gt;"",EOMONTH(LoanStartDate,ROW(PaymentSchedule[[#This Row],[PMT NO]])-ROW(PaymentSchedule[[#Headers],[PMT NO]])-2)+DAY(LoanStartDate),"")</f>
        <v>55094</v>
      </c>
      <c r="D31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7" s="14">
        <f ca="1">IF(PaymentSchedule[[#This Row],[PMT NO]]&lt;&gt;"",ScheduledPayment,"")</f>
        <v>1073.6432460242781</v>
      </c>
      <c r="F31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7" s="14" t="e">
        <f ca="1">IF(PaymentSchedule[[#This Row],[PMT NO]]&lt;&gt;"",PaymentSchedule[[#This Row],[TOTAL PAYMENT]]-PaymentSchedule[[#This Row],[INTEREST]],"")</f>
        <v>#VALUE!</v>
      </c>
      <c r="I317" s="14" t="e">
        <f ca="1">IF(PaymentSchedule[[#This Row],[PMT NO]]&lt;&gt;"",PaymentSchedule[[#This Row],[BEGINNING BALANCE]]*(InterestRate/PaymentsPerYear),"")</f>
        <v>#VALUE!</v>
      </c>
      <c r="J317" s="14" t="s">
        <v>32</v>
      </c>
      <c r="K317" s="14" t="e">
        <f ca="1">IF(PaymentSchedule[[#This Row],[PMT NO]]&lt;&gt;"",SUM(INDEX(PaymentSchedule[INTEREST],1,1):PaymentSchedule[[#This Row],[INTEREST]]),"")</f>
        <v>#VALUE!</v>
      </c>
    </row>
    <row r="318" spans="2:11">
      <c r="B318" s="10">
        <f ca="1">IF(LoanIsGood,IF(ROW()-ROW(PaymentSchedule[[#Headers],[PMT NO]])&gt;ScheduledNumberOfPayments,"",ROW()-ROW(PaymentSchedule[[#Headers],[PMT NO]])),"")</f>
        <v>302</v>
      </c>
      <c r="C318" s="12">
        <f ca="1">IF(PaymentSchedule[[#This Row],[PMT NO]]&lt;&gt;"",EOMONTH(LoanStartDate,ROW(PaymentSchedule[[#This Row],[PMT NO]])-ROW(PaymentSchedule[[#Headers],[PMT NO]])-2)+DAY(LoanStartDate),"")</f>
        <v>55124</v>
      </c>
      <c r="D31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8" s="14">
        <f ca="1">IF(PaymentSchedule[[#This Row],[PMT NO]]&lt;&gt;"",ScheduledPayment,"")</f>
        <v>1073.6432460242781</v>
      </c>
      <c r="F31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8" s="14" t="e">
        <f ca="1">IF(PaymentSchedule[[#This Row],[PMT NO]]&lt;&gt;"",PaymentSchedule[[#This Row],[TOTAL PAYMENT]]-PaymentSchedule[[#This Row],[INTEREST]],"")</f>
        <v>#VALUE!</v>
      </c>
      <c r="I318" s="14" t="e">
        <f ca="1">IF(PaymentSchedule[[#This Row],[PMT NO]]&lt;&gt;"",PaymentSchedule[[#This Row],[BEGINNING BALANCE]]*(InterestRate/PaymentsPerYear),"")</f>
        <v>#VALUE!</v>
      </c>
      <c r="J318" s="14" t="s">
        <v>32</v>
      </c>
      <c r="K318" s="14" t="e">
        <f ca="1">IF(PaymentSchedule[[#This Row],[PMT NO]]&lt;&gt;"",SUM(INDEX(PaymentSchedule[INTEREST],1,1):PaymentSchedule[[#This Row],[INTEREST]]),"")</f>
        <v>#VALUE!</v>
      </c>
    </row>
    <row r="319" spans="2:11">
      <c r="B319" s="10">
        <f ca="1">IF(LoanIsGood,IF(ROW()-ROW(PaymentSchedule[[#Headers],[PMT NO]])&gt;ScheduledNumberOfPayments,"",ROW()-ROW(PaymentSchedule[[#Headers],[PMT NO]])),"")</f>
        <v>303</v>
      </c>
      <c r="C319" s="12">
        <f ca="1">IF(PaymentSchedule[[#This Row],[PMT NO]]&lt;&gt;"",EOMONTH(LoanStartDate,ROW(PaymentSchedule[[#This Row],[PMT NO]])-ROW(PaymentSchedule[[#Headers],[PMT NO]])-2)+DAY(LoanStartDate),"")</f>
        <v>55155</v>
      </c>
      <c r="D31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19" s="14">
        <f ca="1">IF(PaymentSchedule[[#This Row],[PMT NO]]&lt;&gt;"",ScheduledPayment,"")</f>
        <v>1073.6432460242781</v>
      </c>
      <c r="F31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1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19" s="14" t="e">
        <f ca="1">IF(PaymentSchedule[[#This Row],[PMT NO]]&lt;&gt;"",PaymentSchedule[[#This Row],[TOTAL PAYMENT]]-PaymentSchedule[[#This Row],[INTEREST]],"")</f>
        <v>#VALUE!</v>
      </c>
      <c r="I319" s="14" t="e">
        <f ca="1">IF(PaymentSchedule[[#This Row],[PMT NO]]&lt;&gt;"",PaymentSchedule[[#This Row],[BEGINNING BALANCE]]*(InterestRate/PaymentsPerYear),"")</f>
        <v>#VALUE!</v>
      </c>
      <c r="J319" s="14" t="s">
        <v>32</v>
      </c>
      <c r="K319" s="14" t="e">
        <f ca="1">IF(PaymentSchedule[[#This Row],[PMT NO]]&lt;&gt;"",SUM(INDEX(PaymentSchedule[INTEREST],1,1):PaymentSchedule[[#This Row],[INTEREST]]),"")</f>
        <v>#VALUE!</v>
      </c>
    </row>
    <row r="320" spans="2:11">
      <c r="B320" s="10">
        <f ca="1">IF(LoanIsGood,IF(ROW()-ROW(PaymentSchedule[[#Headers],[PMT NO]])&gt;ScheduledNumberOfPayments,"",ROW()-ROW(PaymentSchedule[[#Headers],[PMT NO]])),"")</f>
        <v>304</v>
      </c>
      <c r="C320" s="12">
        <f ca="1">IF(PaymentSchedule[[#This Row],[PMT NO]]&lt;&gt;"",EOMONTH(LoanStartDate,ROW(PaymentSchedule[[#This Row],[PMT NO]])-ROW(PaymentSchedule[[#Headers],[PMT NO]])-2)+DAY(LoanStartDate),"")</f>
        <v>55186</v>
      </c>
      <c r="D32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0" s="14">
        <f ca="1">IF(PaymentSchedule[[#This Row],[PMT NO]]&lt;&gt;"",ScheduledPayment,"")</f>
        <v>1073.6432460242781</v>
      </c>
      <c r="F32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0" s="14" t="e">
        <f ca="1">IF(PaymentSchedule[[#This Row],[PMT NO]]&lt;&gt;"",PaymentSchedule[[#This Row],[TOTAL PAYMENT]]-PaymentSchedule[[#This Row],[INTEREST]],"")</f>
        <v>#VALUE!</v>
      </c>
      <c r="I320" s="14" t="e">
        <f ca="1">IF(PaymentSchedule[[#This Row],[PMT NO]]&lt;&gt;"",PaymentSchedule[[#This Row],[BEGINNING BALANCE]]*(InterestRate/PaymentsPerYear),"")</f>
        <v>#VALUE!</v>
      </c>
      <c r="J320" s="14" t="s">
        <v>32</v>
      </c>
      <c r="K320" s="14" t="e">
        <f ca="1">IF(PaymentSchedule[[#This Row],[PMT NO]]&lt;&gt;"",SUM(INDEX(PaymentSchedule[INTEREST],1,1):PaymentSchedule[[#This Row],[INTEREST]]),"")</f>
        <v>#VALUE!</v>
      </c>
    </row>
    <row r="321" spans="2:11">
      <c r="B321" s="10">
        <f ca="1">IF(LoanIsGood,IF(ROW()-ROW(PaymentSchedule[[#Headers],[PMT NO]])&gt;ScheduledNumberOfPayments,"",ROW()-ROW(PaymentSchedule[[#Headers],[PMT NO]])),"")</f>
        <v>305</v>
      </c>
      <c r="C321" s="12">
        <f ca="1">IF(PaymentSchedule[[#This Row],[PMT NO]]&lt;&gt;"",EOMONTH(LoanStartDate,ROW(PaymentSchedule[[#This Row],[PMT NO]])-ROW(PaymentSchedule[[#Headers],[PMT NO]])-2)+DAY(LoanStartDate),"")</f>
        <v>55214</v>
      </c>
      <c r="D32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1" s="14">
        <f ca="1">IF(PaymentSchedule[[#This Row],[PMT NO]]&lt;&gt;"",ScheduledPayment,"")</f>
        <v>1073.6432460242781</v>
      </c>
      <c r="F32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1" s="14" t="e">
        <f ca="1">IF(PaymentSchedule[[#This Row],[PMT NO]]&lt;&gt;"",PaymentSchedule[[#This Row],[TOTAL PAYMENT]]-PaymentSchedule[[#This Row],[INTEREST]],"")</f>
        <v>#VALUE!</v>
      </c>
      <c r="I321" s="14" t="e">
        <f ca="1">IF(PaymentSchedule[[#This Row],[PMT NO]]&lt;&gt;"",PaymentSchedule[[#This Row],[BEGINNING BALANCE]]*(InterestRate/PaymentsPerYear),"")</f>
        <v>#VALUE!</v>
      </c>
      <c r="J321" s="14" t="s">
        <v>32</v>
      </c>
      <c r="K321" s="14" t="e">
        <f ca="1">IF(PaymentSchedule[[#This Row],[PMT NO]]&lt;&gt;"",SUM(INDEX(PaymentSchedule[INTEREST],1,1):PaymentSchedule[[#This Row],[INTEREST]]),"")</f>
        <v>#VALUE!</v>
      </c>
    </row>
    <row r="322" spans="2:11">
      <c r="B322" s="10">
        <f ca="1">IF(LoanIsGood,IF(ROW()-ROW(PaymentSchedule[[#Headers],[PMT NO]])&gt;ScheduledNumberOfPayments,"",ROW()-ROW(PaymentSchedule[[#Headers],[PMT NO]])),"")</f>
        <v>306</v>
      </c>
      <c r="C322" s="12">
        <f ca="1">IF(PaymentSchedule[[#This Row],[PMT NO]]&lt;&gt;"",EOMONTH(LoanStartDate,ROW(PaymentSchedule[[#This Row],[PMT NO]])-ROW(PaymentSchedule[[#Headers],[PMT NO]])-2)+DAY(LoanStartDate),"")</f>
        <v>55245</v>
      </c>
      <c r="D32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2" s="14">
        <f ca="1">IF(PaymentSchedule[[#This Row],[PMT NO]]&lt;&gt;"",ScheduledPayment,"")</f>
        <v>1073.6432460242781</v>
      </c>
      <c r="F32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2" s="14" t="e">
        <f ca="1">IF(PaymentSchedule[[#This Row],[PMT NO]]&lt;&gt;"",PaymentSchedule[[#This Row],[TOTAL PAYMENT]]-PaymentSchedule[[#This Row],[INTEREST]],"")</f>
        <v>#VALUE!</v>
      </c>
      <c r="I322" s="14" t="e">
        <f ca="1">IF(PaymentSchedule[[#This Row],[PMT NO]]&lt;&gt;"",PaymentSchedule[[#This Row],[BEGINNING BALANCE]]*(InterestRate/PaymentsPerYear),"")</f>
        <v>#VALUE!</v>
      </c>
      <c r="J322" s="14" t="s">
        <v>32</v>
      </c>
      <c r="K322" s="14" t="e">
        <f ca="1">IF(PaymentSchedule[[#This Row],[PMT NO]]&lt;&gt;"",SUM(INDEX(PaymentSchedule[INTEREST],1,1):PaymentSchedule[[#This Row],[INTEREST]]),"")</f>
        <v>#VALUE!</v>
      </c>
    </row>
    <row r="323" spans="2:11">
      <c r="B323" s="10">
        <f ca="1">IF(LoanIsGood,IF(ROW()-ROW(PaymentSchedule[[#Headers],[PMT NO]])&gt;ScheduledNumberOfPayments,"",ROW()-ROW(PaymentSchedule[[#Headers],[PMT NO]])),"")</f>
        <v>307</v>
      </c>
      <c r="C323" s="12">
        <f ca="1">IF(PaymentSchedule[[#This Row],[PMT NO]]&lt;&gt;"",EOMONTH(LoanStartDate,ROW(PaymentSchedule[[#This Row],[PMT NO]])-ROW(PaymentSchedule[[#Headers],[PMT NO]])-2)+DAY(LoanStartDate),"")</f>
        <v>55275</v>
      </c>
      <c r="D32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3" s="14">
        <f ca="1">IF(PaymentSchedule[[#This Row],[PMT NO]]&lt;&gt;"",ScheduledPayment,"")</f>
        <v>1073.6432460242781</v>
      </c>
      <c r="F32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3" s="14" t="e">
        <f ca="1">IF(PaymentSchedule[[#This Row],[PMT NO]]&lt;&gt;"",PaymentSchedule[[#This Row],[TOTAL PAYMENT]]-PaymentSchedule[[#This Row],[INTEREST]],"")</f>
        <v>#VALUE!</v>
      </c>
      <c r="I323" s="14" t="e">
        <f ca="1">IF(PaymentSchedule[[#This Row],[PMT NO]]&lt;&gt;"",PaymentSchedule[[#This Row],[BEGINNING BALANCE]]*(InterestRate/PaymentsPerYear),"")</f>
        <v>#VALUE!</v>
      </c>
      <c r="J323" s="14" t="s">
        <v>32</v>
      </c>
      <c r="K323" s="14" t="e">
        <f ca="1">IF(PaymentSchedule[[#This Row],[PMT NO]]&lt;&gt;"",SUM(INDEX(PaymentSchedule[INTEREST],1,1):PaymentSchedule[[#This Row],[INTEREST]]),"")</f>
        <v>#VALUE!</v>
      </c>
    </row>
    <row r="324" spans="2:11">
      <c r="B324" s="10">
        <f ca="1">IF(LoanIsGood,IF(ROW()-ROW(PaymentSchedule[[#Headers],[PMT NO]])&gt;ScheduledNumberOfPayments,"",ROW()-ROW(PaymentSchedule[[#Headers],[PMT NO]])),"")</f>
        <v>308</v>
      </c>
      <c r="C324" s="12">
        <f ca="1">IF(PaymentSchedule[[#This Row],[PMT NO]]&lt;&gt;"",EOMONTH(LoanStartDate,ROW(PaymentSchedule[[#This Row],[PMT NO]])-ROW(PaymentSchedule[[#Headers],[PMT NO]])-2)+DAY(LoanStartDate),"")</f>
        <v>55306</v>
      </c>
      <c r="D32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4" s="14">
        <f ca="1">IF(PaymentSchedule[[#This Row],[PMT NO]]&lt;&gt;"",ScheduledPayment,"")</f>
        <v>1073.6432460242781</v>
      </c>
      <c r="F32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4" s="14" t="e">
        <f ca="1">IF(PaymentSchedule[[#This Row],[PMT NO]]&lt;&gt;"",PaymentSchedule[[#This Row],[TOTAL PAYMENT]]-PaymentSchedule[[#This Row],[INTEREST]],"")</f>
        <v>#VALUE!</v>
      </c>
      <c r="I324" s="14" t="e">
        <f ca="1">IF(PaymentSchedule[[#This Row],[PMT NO]]&lt;&gt;"",PaymentSchedule[[#This Row],[BEGINNING BALANCE]]*(InterestRate/PaymentsPerYear),"")</f>
        <v>#VALUE!</v>
      </c>
      <c r="J324" s="14" t="s">
        <v>32</v>
      </c>
      <c r="K324" s="14" t="e">
        <f ca="1">IF(PaymentSchedule[[#This Row],[PMT NO]]&lt;&gt;"",SUM(INDEX(PaymentSchedule[INTEREST],1,1):PaymentSchedule[[#This Row],[INTEREST]]),"")</f>
        <v>#VALUE!</v>
      </c>
    </row>
    <row r="325" spans="2:11">
      <c r="B325" s="10">
        <f ca="1">IF(LoanIsGood,IF(ROW()-ROW(PaymentSchedule[[#Headers],[PMT NO]])&gt;ScheduledNumberOfPayments,"",ROW()-ROW(PaymentSchedule[[#Headers],[PMT NO]])),"")</f>
        <v>309</v>
      </c>
      <c r="C325" s="12">
        <f ca="1">IF(PaymentSchedule[[#This Row],[PMT NO]]&lt;&gt;"",EOMONTH(LoanStartDate,ROW(PaymentSchedule[[#This Row],[PMT NO]])-ROW(PaymentSchedule[[#Headers],[PMT NO]])-2)+DAY(LoanStartDate),"")</f>
        <v>55336</v>
      </c>
      <c r="D32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5" s="14">
        <f ca="1">IF(PaymentSchedule[[#This Row],[PMT NO]]&lt;&gt;"",ScheduledPayment,"")</f>
        <v>1073.6432460242781</v>
      </c>
      <c r="F32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5" s="14" t="e">
        <f ca="1">IF(PaymentSchedule[[#This Row],[PMT NO]]&lt;&gt;"",PaymentSchedule[[#This Row],[TOTAL PAYMENT]]-PaymentSchedule[[#This Row],[INTEREST]],"")</f>
        <v>#VALUE!</v>
      </c>
      <c r="I325" s="14" t="e">
        <f ca="1">IF(PaymentSchedule[[#This Row],[PMT NO]]&lt;&gt;"",PaymentSchedule[[#This Row],[BEGINNING BALANCE]]*(InterestRate/PaymentsPerYear),"")</f>
        <v>#VALUE!</v>
      </c>
      <c r="J325" s="14" t="s">
        <v>32</v>
      </c>
      <c r="K325" s="14" t="e">
        <f ca="1">IF(PaymentSchedule[[#This Row],[PMT NO]]&lt;&gt;"",SUM(INDEX(PaymentSchedule[INTEREST],1,1):PaymentSchedule[[#This Row],[INTEREST]]),"")</f>
        <v>#VALUE!</v>
      </c>
    </row>
    <row r="326" spans="2:11">
      <c r="B326" s="10">
        <f ca="1">IF(LoanIsGood,IF(ROW()-ROW(PaymentSchedule[[#Headers],[PMT NO]])&gt;ScheduledNumberOfPayments,"",ROW()-ROW(PaymentSchedule[[#Headers],[PMT NO]])),"")</f>
        <v>310</v>
      </c>
      <c r="C326" s="12">
        <f ca="1">IF(PaymentSchedule[[#This Row],[PMT NO]]&lt;&gt;"",EOMONTH(LoanStartDate,ROW(PaymentSchedule[[#This Row],[PMT NO]])-ROW(PaymentSchedule[[#Headers],[PMT NO]])-2)+DAY(LoanStartDate),"")</f>
        <v>55367</v>
      </c>
      <c r="D32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6" s="14">
        <f ca="1">IF(PaymentSchedule[[#This Row],[PMT NO]]&lt;&gt;"",ScheduledPayment,"")</f>
        <v>1073.6432460242781</v>
      </c>
      <c r="F32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6" s="14" t="e">
        <f ca="1">IF(PaymentSchedule[[#This Row],[PMT NO]]&lt;&gt;"",PaymentSchedule[[#This Row],[TOTAL PAYMENT]]-PaymentSchedule[[#This Row],[INTEREST]],"")</f>
        <v>#VALUE!</v>
      </c>
      <c r="I326" s="14" t="e">
        <f ca="1">IF(PaymentSchedule[[#This Row],[PMT NO]]&lt;&gt;"",PaymentSchedule[[#This Row],[BEGINNING BALANCE]]*(InterestRate/PaymentsPerYear),"")</f>
        <v>#VALUE!</v>
      </c>
      <c r="J326" s="14" t="s">
        <v>32</v>
      </c>
      <c r="K326" s="14" t="e">
        <f ca="1">IF(PaymentSchedule[[#This Row],[PMT NO]]&lt;&gt;"",SUM(INDEX(PaymentSchedule[INTEREST],1,1):PaymentSchedule[[#This Row],[INTEREST]]),"")</f>
        <v>#VALUE!</v>
      </c>
    </row>
    <row r="327" spans="2:11">
      <c r="B327" s="10">
        <f ca="1">IF(LoanIsGood,IF(ROW()-ROW(PaymentSchedule[[#Headers],[PMT NO]])&gt;ScheduledNumberOfPayments,"",ROW()-ROW(PaymentSchedule[[#Headers],[PMT NO]])),"")</f>
        <v>311</v>
      </c>
      <c r="C327" s="12">
        <f ca="1">IF(PaymentSchedule[[#This Row],[PMT NO]]&lt;&gt;"",EOMONTH(LoanStartDate,ROW(PaymentSchedule[[#This Row],[PMT NO]])-ROW(PaymentSchedule[[#Headers],[PMT NO]])-2)+DAY(LoanStartDate),"")</f>
        <v>55398</v>
      </c>
      <c r="D32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7" s="14">
        <f ca="1">IF(PaymentSchedule[[#This Row],[PMT NO]]&lt;&gt;"",ScheduledPayment,"")</f>
        <v>1073.6432460242781</v>
      </c>
      <c r="F32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7" s="14" t="e">
        <f ca="1">IF(PaymentSchedule[[#This Row],[PMT NO]]&lt;&gt;"",PaymentSchedule[[#This Row],[TOTAL PAYMENT]]-PaymentSchedule[[#This Row],[INTEREST]],"")</f>
        <v>#VALUE!</v>
      </c>
      <c r="I327" s="14" t="e">
        <f ca="1">IF(PaymentSchedule[[#This Row],[PMT NO]]&lt;&gt;"",PaymentSchedule[[#This Row],[BEGINNING BALANCE]]*(InterestRate/PaymentsPerYear),"")</f>
        <v>#VALUE!</v>
      </c>
      <c r="J327" s="14" t="s">
        <v>32</v>
      </c>
      <c r="K327" s="14" t="e">
        <f ca="1">IF(PaymentSchedule[[#This Row],[PMT NO]]&lt;&gt;"",SUM(INDEX(PaymentSchedule[INTEREST],1,1):PaymentSchedule[[#This Row],[INTEREST]]),"")</f>
        <v>#VALUE!</v>
      </c>
    </row>
    <row r="328" spans="2:11">
      <c r="B328" s="10">
        <f ca="1">IF(LoanIsGood,IF(ROW()-ROW(PaymentSchedule[[#Headers],[PMT NO]])&gt;ScheduledNumberOfPayments,"",ROW()-ROW(PaymentSchedule[[#Headers],[PMT NO]])),"")</f>
        <v>312</v>
      </c>
      <c r="C328" s="12">
        <f ca="1">IF(PaymentSchedule[[#This Row],[PMT NO]]&lt;&gt;"",EOMONTH(LoanStartDate,ROW(PaymentSchedule[[#This Row],[PMT NO]])-ROW(PaymentSchedule[[#Headers],[PMT NO]])-2)+DAY(LoanStartDate),"")</f>
        <v>55428</v>
      </c>
      <c r="D32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8" s="14">
        <f ca="1">IF(PaymentSchedule[[#This Row],[PMT NO]]&lt;&gt;"",ScheduledPayment,"")</f>
        <v>1073.6432460242781</v>
      </c>
      <c r="F32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8" s="14" t="e">
        <f ca="1">IF(PaymentSchedule[[#This Row],[PMT NO]]&lt;&gt;"",PaymentSchedule[[#This Row],[TOTAL PAYMENT]]-PaymentSchedule[[#This Row],[INTEREST]],"")</f>
        <v>#VALUE!</v>
      </c>
      <c r="I328" s="14" t="e">
        <f ca="1">IF(PaymentSchedule[[#This Row],[PMT NO]]&lt;&gt;"",PaymentSchedule[[#This Row],[BEGINNING BALANCE]]*(InterestRate/PaymentsPerYear),"")</f>
        <v>#VALUE!</v>
      </c>
      <c r="J328" s="14" t="s">
        <v>32</v>
      </c>
      <c r="K328" s="14" t="e">
        <f ca="1">IF(PaymentSchedule[[#This Row],[PMT NO]]&lt;&gt;"",SUM(INDEX(PaymentSchedule[INTEREST],1,1):PaymentSchedule[[#This Row],[INTEREST]]),"")</f>
        <v>#VALUE!</v>
      </c>
    </row>
    <row r="329" spans="2:11">
      <c r="B329" s="10">
        <f ca="1">IF(LoanIsGood,IF(ROW()-ROW(PaymentSchedule[[#Headers],[PMT NO]])&gt;ScheduledNumberOfPayments,"",ROW()-ROW(PaymentSchedule[[#Headers],[PMT NO]])),"")</f>
        <v>313</v>
      </c>
      <c r="C329" s="12">
        <f ca="1">IF(PaymentSchedule[[#This Row],[PMT NO]]&lt;&gt;"",EOMONTH(LoanStartDate,ROW(PaymentSchedule[[#This Row],[PMT NO]])-ROW(PaymentSchedule[[#Headers],[PMT NO]])-2)+DAY(LoanStartDate),"")</f>
        <v>55459</v>
      </c>
      <c r="D32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29" s="14">
        <f ca="1">IF(PaymentSchedule[[#This Row],[PMT NO]]&lt;&gt;"",ScheduledPayment,"")</f>
        <v>1073.6432460242781</v>
      </c>
      <c r="F32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2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29" s="14" t="e">
        <f ca="1">IF(PaymentSchedule[[#This Row],[PMT NO]]&lt;&gt;"",PaymentSchedule[[#This Row],[TOTAL PAYMENT]]-PaymentSchedule[[#This Row],[INTEREST]],"")</f>
        <v>#VALUE!</v>
      </c>
      <c r="I329" s="14" t="e">
        <f ca="1">IF(PaymentSchedule[[#This Row],[PMT NO]]&lt;&gt;"",PaymentSchedule[[#This Row],[BEGINNING BALANCE]]*(InterestRate/PaymentsPerYear),"")</f>
        <v>#VALUE!</v>
      </c>
      <c r="J329" s="14" t="s">
        <v>32</v>
      </c>
      <c r="K329" s="14" t="e">
        <f ca="1">IF(PaymentSchedule[[#This Row],[PMT NO]]&lt;&gt;"",SUM(INDEX(PaymentSchedule[INTEREST],1,1):PaymentSchedule[[#This Row],[INTEREST]]),"")</f>
        <v>#VALUE!</v>
      </c>
    </row>
    <row r="330" spans="2:11">
      <c r="B330" s="10">
        <f ca="1">IF(LoanIsGood,IF(ROW()-ROW(PaymentSchedule[[#Headers],[PMT NO]])&gt;ScheduledNumberOfPayments,"",ROW()-ROW(PaymentSchedule[[#Headers],[PMT NO]])),"")</f>
        <v>314</v>
      </c>
      <c r="C330" s="12">
        <f ca="1">IF(PaymentSchedule[[#This Row],[PMT NO]]&lt;&gt;"",EOMONTH(LoanStartDate,ROW(PaymentSchedule[[#This Row],[PMT NO]])-ROW(PaymentSchedule[[#Headers],[PMT NO]])-2)+DAY(LoanStartDate),"")</f>
        <v>55489</v>
      </c>
      <c r="D33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0" s="14">
        <f ca="1">IF(PaymentSchedule[[#This Row],[PMT NO]]&lt;&gt;"",ScheduledPayment,"")</f>
        <v>1073.6432460242781</v>
      </c>
      <c r="F33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0" s="14" t="e">
        <f ca="1">IF(PaymentSchedule[[#This Row],[PMT NO]]&lt;&gt;"",PaymentSchedule[[#This Row],[TOTAL PAYMENT]]-PaymentSchedule[[#This Row],[INTEREST]],"")</f>
        <v>#VALUE!</v>
      </c>
      <c r="I330" s="14" t="e">
        <f ca="1">IF(PaymentSchedule[[#This Row],[PMT NO]]&lt;&gt;"",PaymentSchedule[[#This Row],[BEGINNING BALANCE]]*(InterestRate/PaymentsPerYear),"")</f>
        <v>#VALUE!</v>
      </c>
      <c r="J330" s="14" t="s">
        <v>32</v>
      </c>
      <c r="K330" s="14" t="e">
        <f ca="1">IF(PaymentSchedule[[#This Row],[PMT NO]]&lt;&gt;"",SUM(INDEX(PaymentSchedule[INTEREST],1,1):PaymentSchedule[[#This Row],[INTEREST]]),"")</f>
        <v>#VALUE!</v>
      </c>
    </row>
    <row r="331" spans="2:11">
      <c r="B331" s="10">
        <f ca="1">IF(LoanIsGood,IF(ROW()-ROW(PaymentSchedule[[#Headers],[PMT NO]])&gt;ScheduledNumberOfPayments,"",ROW()-ROW(PaymentSchedule[[#Headers],[PMT NO]])),"")</f>
        <v>315</v>
      </c>
      <c r="C331" s="12">
        <f ca="1">IF(PaymentSchedule[[#This Row],[PMT NO]]&lt;&gt;"",EOMONTH(LoanStartDate,ROW(PaymentSchedule[[#This Row],[PMT NO]])-ROW(PaymentSchedule[[#Headers],[PMT NO]])-2)+DAY(LoanStartDate),"")</f>
        <v>55520</v>
      </c>
      <c r="D33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1" s="14">
        <f ca="1">IF(PaymentSchedule[[#This Row],[PMT NO]]&lt;&gt;"",ScheduledPayment,"")</f>
        <v>1073.6432460242781</v>
      </c>
      <c r="F33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1" s="14" t="e">
        <f ca="1">IF(PaymentSchedule[[#This Row],[PMT NO]]&lt;&gt;"",PaymentSchedule[[#This Row],[TOTAL PAYMENT]]-PaymentSchedule[[#This Row],[INTEREST]],"")</f>
        <v>#VALUE!</v>
      </c>
      <c r="I331" s="14" t="e">
        <f ca="1">IF(PaymentSchedule[[#This Row],[PMT NO]]&lt;&gt;"",PaymentSchedule[[#This Row],[BEGINNING BALANCE]]*(InterestRate/PaymentsPerYear),"")</f>
        <v>#VALUE!</v>
      </c>
      <c r="J331" s="14" t="s">
        <v>32</v>
      </c>
      <c r="K331" s="14" t="e">
        <f ca="1">IF(PaymentSchedule[[#This Row],[PMT NO]]&lt;&gt;"",SUM(INDEX(PaymentSchedule[INTEREST],1,1):PaymentSchedule[[#This Row],[INTEREST]]),"")</f>
        <v>#VALUE!</v>
      </c>
    </row>
    <row r="332" spans="2:11">
      <c r="B332" s="10">
        <f ca="1">IF(LoanIsGood,IF(ROW()-ROW(PaymentSchedule[[#Headers],[PMT NO]])&gt;ScheduledNumberOfPayments,"",ROW()-ROW(PaymentSchedule[[#Headers],[PMT NO]])),"")</f>
        <v>316</v>
      </c>
      <c r="C332" s="12">
        <f ca="1">IF(PaymentSchedule[[#This Row],[PMT NO]]&lt;&gt;"",EOMONTH(LoanStartDate,ROW(PaymentSchedule[[#This Row],[PMT NO]])-ROW(PaymentSchedule[[#Headers],[PMT NO]])-2)+DAY(LoanStartDate),"")</f>
        <v>55551</v>
      </c>
      <c r="D33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2" s="14">
        <f ca="1">IF(PaymentSchedule[[#This Row],[PMT NO]]&lt;&gt;"",ScheduledPayment,"")</f>
        <v>1073.6432460242781</v>
      </c>
      <c r="F33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2" s="14" t="e">
        <f ca="1">IF(PaymentSchedule[[#This Row],[PMT NO]]&lt;&gt;"",PaymentSchedule[[#This Row],[TOTAL PAYMENT]]-PaymentSchedule[[#This Row],[INTEREST]],"")</f>
        <v>#VALUE!</v>
      </c>
      <c r="I332" s="14" t="e">
        <f ca="1">IF(PaymentSchedule[[#This Row],[PMT NO]]&lt;&gt;"",PaymentSchedule[[#This Row],[BEGINNING BALANCE]]*(InterestRate/PaymentsPerYear),"")</f>
        <v>#VALUE!</v>
      </c>
      <c r="J332" s="14" t="s">
        <v>32</v>
      </c>
      <c r="K332" s="14" t="e">
        <f ca="1">IF(PaymentSchedule[[#This Row],[PMT NO]]&lt;&gt;"",SUM(INDEX(PaymentSchedule[INTEREST],1,1):PaymentSchedule[[#This Row],[INTEREST]]),"")</f>
        <v>#VALUE!</v>
      </c>
    </row>
    <row r="333" spans="2:11">
      <c r="B333" s="10">
        <f ca="1">IF(LoanIsGood,IF(ROW()-ROW(PaymentSchedule[[#Headers],[PMT NO]])&gt;ScheduledNumberOfPayments,"",ROW()-ROW(PaymentSchedule[[#Headers],[PMT NO]])),"")</f>
        <v>317</v>
      </c>
      <c r="C333" s="12">
        <f ca="1">IF(PaymentSchedule[[#This Row],[PMT NO]]&lt;&gt;"",EOMONTH(LoanStartDate,ROW(PaymentSchedule[[#This Row],[PMT NO]])-ROW(PaymentSchedule[[#Headers],[PMT NO]])-2)+DAY(LoanStartDate),"")</f>
        <v>55580</v>
      </c>
      <c r="D33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3" s="14">
        <f ca="1">IF(PaymentSchedule[[#This Row],[PMT NO]]&lt;&gt;"",ScheduledPayment,"")</f>
        <v>1073.6432460242781</v>
      </c>
      <c r="F33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3" s="14" t="e">
        <f ca="1">IF(PaymentSchedule[[#This Row],[PMT NO]]&lt;&gt;"",PaymentSchedule[[#This Row],[TOTAL PAYMENT]]-PaymentSchedule[[#This Row],[INTEREST]],"")</f>
        <v>#VALUE!</v>
      </c>
      <c r="I333" s="14" t="e">
        <f ca="1">IF(PaymentSchedule[[#This Row],[PMT NO]]&lt;&gt;"",PaymentSchedule[[#This Row],[BEGINNING BALANCE]]*(InterestRate/PaymentsPerYear),"")</f>
        <v>#VALUE!</v>
      </c>
      <c r="J333" s="14" t="s">
        <v>32</v>
      </c>
      <c r="K333" s="14" t="e">
        <f ca="1">IF(PaymentSchedule[[#This Row],[PMT NO]]&lt;&gt;"",SUM(INDEX(PaymentSchedule[INTEREST],1,1):PaymentSchedule[[#This Row],[INTEREST]]),"")</f>
        <v>#VALUE!</v>
      </c>
    </row>
    <row r="334" spans="2:11">
      <c r="B334" s="10">
        <f ca="1">IF(LoanIsGood,IF(ROW()-ROW(PaymentSchedule[[#Headers],[PMT NO]])&gt;ScheduledNumberOfPayments,"",ROW()-ROW(PaymentSchedule[[#Headers],[PMT NO]])),"")</f>
        <v>318</v>
      </c>
      <c r="C334" s="12">
        <f ca="1">IF(PaymentSchedule[[#This Row],[PMT NO]]&lt;&gt;"",EOMONTH(LoanStartDate,ROW(PaymentSchedule[[#This Row],[PMT NO]])-ROW(PaymentSchedule[[#Headers],[PMT NO]])-2)+DAY(LoanStartDate),"")</f>
        <v>55611</v>
      </c>
      <c r="D33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4" s="14">
        <f ca="1">IF(PaymentSchedule[[#This Row],[PMT NO]]&lt;&gt;"",ScheduledPayment,"")</f>
        <v>1073.6432460242781</v>
      </c>
      <c r="F33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4" s="14" t="e">
        <f ca="1">IF(PaymentSchedule[[#This Row],[PMT NO]]&lt;&gt;"",PaymentSchedule[[#This Row],[TOTAL PAYMENT]]-PaymentSchedule[[#This Row],[INTEREST]],"")</f>
        <v>#VALUE!</v>
      </c>
      <c r="I334" s="14" t="e">
        <f ca="1">IF(PaymentSchedule[[#This Row],[PMT NO]]&lt;&gt;"",PaymentSchedule[[#This Row],[BEGINNING BALANCE]]*(InterestRate/PaymentsPerYear),"")</f>
        <v>#VALUE!</v>
      </c>
      <c r="J334" s="14" t="s">
        <v>32</v>
      </c>
      <c r="K334" s="14" t="e">
        <f ca="1">IF(PaymentSchedule[[#This Row],[PMT NO]]&lt;&gt;"",SUM(INDEX(PaymentSchedule[INTEREST],1,1):PaymentSchedule[[#This Row],[INTEREST]]),"")</f>
        <v>#VALUE!</v>
      </c>
    </row>
    <row r="335" spans="2:11">
      <c r="B335" s="10">
        <f ca="1">IF(LoanIsGood,IF(ROW()-ROW(PaymentSchedule[[#Headers],[PMT NO]])&gt;ScheduledNumberOfPayments,"",ROW()-ROW(PaymentSchedule[[#Headers],[PMT NO]])),"")</f>
        <v>319</v>
      </c>
      <c r="C335" s="12">
        <f ca="1">IF(PaymentSchedule[[#This Row],[PMT NO]]&lt;&gt;"",EOMONTH(LoanStartDate,ROW(PaymentSchedule[[#This Row],[PMT NO]])-ROW(PaymentSchedule[[#Headers],[PMT NO]])-2)+DAY(LoanStartDate),"")</f>
        <v>55641</v>
      </c>
      <c r="D33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5" s="14">
        <f ca="1">IF(PaymentSchedule[[#This Row],[PMT NO]]&lt;&gt;"",ScheduledPayment,"")</f>
        <v>1073.6432460242781</v>
      </c>
      <c r="F33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5" s="14" t="e">
        <f ca="1">IF(PaymentSchedule[[#This Row],[PMT NO]]&lt;&gt;"",PaymentSchedule[[#This Row],[TOTAL PAYMENT]]-PaymentSchedule[[#This Row],[INTEREST]],"")</f>
        <v>#VALUE!</v>
      </c>
      <c r="I335" s="14" t="e">
        <f ca="1">IF(PaymentSchedule[[#This Row],[PMT NO]]&lt;&gt;"",PaymentSchedule[[#This Row],[BEGINNING BALANCE]]*(InterestRate/PaymentsPerYear),"")</f>
        <v>#VALUE!</v>
      </c>
      <c r="J335" s="14" t="s">
        <v>32</v>
      </c>
      <c r="K335" s="14" t="e">
        <f ca="1">IF(PaymentSchedule[[#This Row],[PMT NO]]&lt;&gt;"",SUM(INDEX(PaymentSchedule[INTEREST],1,1):PaymentSchedule[[#This Row],[INTEREST]]),"")</f>
        <v>#VALUE!</v>
      </c>
    </row>
    <row r="336" spans="2:11">
      <c r="B336" s="10">
        <f ca="1">IF(LoanIsGood,IF(ROW()-ROW(PaymentSchedule[[#Headers],[PMT NO]])&gt;ScheduledNumberOfPayments,"",ROW()-ROW(PaymentSchedule[[#Headers],[PMT NO]])),"")</f>
        <v>320</v>
      </c>
      <c r="C336" s="12">
        <f ca="1">IF(PaymentSchedule[[#This Row],[PMT NO]]&lt;&gt;"",EOMONTH(LoanStartDate,ROW(PaymentSchedule[[#This Row],[PMT NO]])-ROW(PaymentSchedule[[#Headers],[PMT NO]])-2)+DAY(LoanStartDate),"")</f>
        <v>55672</v>
      </c>
      <c r="D33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6" s="14">
        <f ca="1">IF(PaymentSchedule[[#This Row],[PMT NO]]&lt;&gt;"",ScheduledPayment,"")</f>
        <v>1073.6432460242781</v>
      </c>
      <c r="F33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6" s="14" t="e">
        <f ca="1">IF(PaymentSchedule[[#This Row],[PMT NO]]&lt;&gt;"",PaymentSchedule[[#This Row],[TOTAL PAYMENT]]-PaymentSchedule[[#This Row],[INTEREST]],"")</f>
        <v>#VALUE!</v>
      </c>
      <c r="I336" s="14" t="e">
        <f ca="1">IF(PaymentSchedule[[#This Row],[PMT NO]]&lt;&gt;"",PaymentSchedule[[#This Row],[BEGINNING BALANCE]]*(InterestRate/PaymentsPerYear),"")</f>
        <v>#VALUE!</v>
      </c>
      <c r="J336" s="14" t="s">
        <v>32</v>
      </c>
      <c r="K336" s="14" t="e">
        <f ca="1">IF(PaymentSchedule[[#This Row],[PMT NO]]&lt;&gt;"",SUM(INDEX(PaymentSchedule[INTEREST],1,1):PaymentSchedule[[#This Row],[INTEREST]]),"")</f>
        <v>#VALUE!</v>
      </c>
    </row>
    <row r="337" spans="2:11">
      <c r="B337" s="10">
        <f ca="1">IF(LoanIsGood,IF(ROW()-ROW(PaymentSchedule[[#Headers],[PMT NO]])&gt;ScheduledNumberOfPayments,"",ROW()-ROW(PaymentSchedule[[#Headers],[PMT NO]])),"")</f>
        <v>321</v>
      </c>
      <c r="C337" s="12">
        <f ca="1">IF(PaymentSchedule[[#This Row],[PMT NO]]&lt;&gt;"",EOMONTH(LoanStartDate,ROW(PaymentSchedule[[#This Row],[PMT NO]])-ROW(PaymentSchedule[[#Headers],[PMT NO]])-2)+DAY(LoanStartDate),"")</f>
        <v>55702</v>
      </c>
      <c r="D33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7" s="14">
        <f ca="1">IF(PaymentSchedule[[#This Row],[PMT NO]]&lt;&gt;"",ScheduledPayment,"")</f>
        <v>1073.6432460242781</v>
      </c>
      <c r="F33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7" s="14" t="e">
        <f ca="1">IF(PaymentSchedule[[#This Row],[PMT NO]]&lt;&gt;"",PaymentSchedule[[#This Row],[TOTAL PAYMENT]]-PaymentSchedule[[#This Row],[INTEREST]],"")</f>
        <v>#VALUE!</v>
      </c>
      <c r="I337" s="14" t="e">
        <f ca="1">IF(PaymentSchedule[[#This Row],[PMT NO]]&lt;&gt;"",PaymentSchedule[[#This Row],[BEGINNING BALANCE]]*(InterestRate/PaymentsPerYear),"")</f>
        <v>#VALUE!</v>
      </c>
      <c r="J337" s="14" t="s">
        <v>32</v>
      </c>
      <c r="K337" s="14" t="e">
        <f ca="1">IF(PaymentSchedule[[#This Row],[PMT NO]]&lt;&gt;"",SUM(INDEX(PaymentSchedule[INTEREST],1,1):PaymentSchedule[[#This Row],[INTEREST]]),"")</f>
        <v>#VALUE!</v>
      </c>
    </row>
    <row r="338" spans="2:11">
      <c r="B338" s="10">
        <f ca="1">IF(LoanIsGood,IF(ROW()-ROW(PaymentSchedule[[#Headers],[PMT NO]])&gt;ScheduledNumberOfPayments,"",ROW()-ROW(PaymentSchedule[[#Headers],[PMT NO]])),"")</f>
        <v>322</v>
      </c>
      <c r="C338" s="12">
        <f ca="1">IF(PaymentSchedule[[#This Row],[PMT NO]]&lt;&gt;"",EOMONTH(LoanStartDate,ROW(PaymentSchedule[[#This Row],[PMT NO]])-ROW(PaymentSchedule[[#Headers],[PMT NO]])-2)+DAY(LoanStartDate),"")</f>
        <v>55733</v>
      </c>
      <c r="D33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8" s="14">
        <f ca="1">IF(PaymentSchedule[[#This Row],[PMT NO]]&lt;&gt;"",ScheduledPayment,"")</f>
        <v>1073.6432460242781</v>
      </c>
      <c r="F33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8" s="14" t="e">
        <f ca="1">IF(PaymentSchedule[[#This Row],[PMT NO]]&lt;&gt;"",PaymentSchedule[[#This Row],[TOTAL PAYMENT]]-PaymentSchedule[[#This Row],[INTEREST]],"")</f>
        <v>#VALUE!</v>
      </c>
      <c r="I338" s="14" t="e">
        <f ca="1">IF(PaymentSchedule[[#This Row],[PMT NO]]&lt;&gt;"",PaymentSchedule[[#This Row],[BEGINNING BALANCE]]*(InterestRate/PaymentsPerYear),"")</f>
        <v>#VALUE!</v>
      </c>
      <c r="J338" s="14" t="s">
        <v>32</v>
      </c>
      <c r="K338" s="14" t="e">
        <f ca="1">IF(PaymentSchedule[[#This Row],[PMT NO]]&lt;&gt;"",SUM(INDEX(PaymentSchedule[INTEREST],1,1):PaymentSchedule[[#This Row],[INTEREST]]),"")</f>
        <v>#VALUE!</v>
      </c>
    </row>
    <row r="339" spans="2:11">
      <c r="B339" s="10">
        <f ca="1">IF(LoanIsGood,IF(ROW()-ROW(PaymentSchedule[[#Headers],[PMT NO]])&gt;ScheduledNumberOfPayments,"",ROW()-ROW(PaymentSchedule[[#Headers],[PMT NO]])),"")</f>
        <v>323</v>
      </c>
      <c r="C339" s="12">
        <f ca="1">IF(PaymentSchedule[[#This Row],[PMT NO]]&lt;&gt;"",EOMONTH(LoanStartDate,ROW(PaymentSchedule[[#This Row],[PMT NO]])-ROW(PaymentSchedule[[#Headers],[PMT NO]])-2)+DAY(LoanStartDate),"")</f>
        <v>55764</v>
      </c>
      <c r="D33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39" s="14">
        <f ca="1">IF(PaymentSchedule[[#This Row],[PMT NO]]&lt;&gt;"",ScheduledPayment,"")</f>
        <v>1073.6432460242781</v>
      </c>
      <c r="F33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3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39" s="14" t="e">
        <f ca="1">IF(PaymentSchedule[[#This Row],[PMT NO]]&lt;&gt;"",PaymentSchedule[[#This Row],[TOTAL PAYMENT]]-PaymentSchedule[[#This Row],[INTEREST]],"")</f>
        <v>#VALUE!</v>
      </c>
      <c r="I339" s="14" t="e">
        <f ca="1">IF(PaymentSchedule[[#This Row],[PMT NO]]&lt;&gt;"",PaymentSchedule[[#This Row],[BEGINNING BALANCE]]*(InterestRate/PaymentsPerYear),"")</f>
        <v>#VALUE!</v>
      </c>
      <c r="J339" s="14" t="s">
        <v>32</v>
      </c>
      <c r="K339" s="14" t="e">
        <f ca="1">IF(PaymentSchedule[[#This Row],[PMT NO]]&lt;&gt;"",SUM(INDEX(PaymentSchedule[INTEREST],1,1):PaymentSchedule[[#This Row],[INTEREST]]),"")</f>
        <v>#VALUE!</v>
      </c>
    </row>
    <row r="340" spans="2:11">
      <c r="B340" s="10">
        <f ca="1">IF(LoanIsGood,IF(ROW()-ROW(PaymentSchedule[[#Headers],[PMT NO]])&gt;ScheduledNumberOfPayments,"",ROW()-ROW(PaymentSchedule[[#Headers],[PMT NO]])),"")</f>
        <v>324</v>
      </c>
      <c r="C340" s="12">
        <f ca="1">IF(PaymentSchedule[[#This Row],[PMT NO]]&lt;&gt;"",EOMONTH(LoanStartDate,ROW(PaymentSchedule[[#This Row],[PMT NO]])-ROW(PaymentSchedule[[#Headers],[PMT NO]])-2)+DAY(LoanStartDate),"")</f>
        <v>55794</v>
      </c>
      <c r="D34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0" s="14">
        <f ca="1">IF(PaymentSchedule[[#This Row],[PMT NO]]&lt;&gt;"",ScheduledPayment,"")</f>
        <v>1073.6432460242781</v>
      </c>
      <c r="F34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0" s="14" t="e">
        <f ca="1">IF(PaymentSchedule[[#This Row],[PMT NO]]&lt;&gt;"",PaymentSchedule[[#This Row],[TOTAL PAYMENT]]-PaymentSchedule[[#This Row],[INTEREST]],"")</f>
        <v>#VALUE!</v>
      </c>
      <c r="I340" s="14" t="e">
        <f ca="1">IF(PaymentSchedule[[#This Row],[PMT NO]]&lt;&gt;"",PaymentSchedule[[#This Row],[BEGINNING BALANCE]]*(InterestRate/PaymentsPerYear),"")</f>
        <v>#VALUE!</v>
      </c>
      <c r="J340" s="14" t="s">
        <v>32</v>
      </c>
      <c r="K340" s="14" t="e">
        <f ca="1">IF(PaymentSchedule[[#This Row],[PMT NO]]&lt;&gt;"",SUM(INDEX(PaymentSchedule[INTEREST],1,1):PaymentSchedule[[#This Row],[INTEREST]]),"")</f>
        <v>#VALUE!</v>
      </c>
    </row>
    <row r="341" spans="2:11">
      <c r="B341" s="10">
        <f ca="1">IF(LoanIsGood,IF(ROW()-ROW(PaymentSchedule[[#Headers],[PMT NO]])&gt;ScheduledNumberOfPayments,"",ROW()-ROW(PaymentSchedule[[#Headers],[PMT NO]])),"")</f>
        <v>325</v>
      </c>
      <c r="C341" s="12">
        <f ca="1">IF(PaymentSchedule[[#This Row],[PMT NO]]&lt;&gt;"",EOMONTH(LoanStartDate,ROW(PaymentSchedule[[#This Row],[PMT NO]])-ROW(PaymentSchedule[[#Headers],[PMT NO]])-2)+DAY(LoanStartDate),"")</f>
        <v>55825</v>
      </c>
      <c r="D34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1" s="14">
        <f ca="1">IF(PaymentSchedule[[#This Row],[PMT NO]]&lt;&gt;"",ScheduledPayment,"")</f>
        <v>1073.6432460242781</v>
      </c>
      <c r="F34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1" s="14" t="e">
        <f ca="1">IF(PaymentSchedule[[#This Row],[PMT NO]]&lt;&gt;"",PaymentSchedule[[#This Row],[TOTAL PAYMENT]]-PaymentSchedule[[#This Row],[INTEREST]],"")</f>
        <v>#VALUE!</v>
      </c>
      <c r="I341" s="14" t="e">
        <f ca="1">IF(PaymentSchedule[[#This Row],[PMT NO]]&lt;&gt;"",PaymentSchedule[[#This Row],[BEGINNING BALANCE]]*(InterestRate/PaymentsPerYear),"")</f>
        <v>#VALUE!</v>
      </c>
      <c r="J341" s="14" t="s">
        <v>32</v>
      </c>
      <c r="K341" s="14" t="e">
        <f ca="1">IF(PaymentSchedule[[#This Row],[PMT NO]]&lt;&gt;"",SUM(INDEX(PaymentSchedule[INTEREST],1,1):PaymentSchedule[[#This Row],[INTEREST]]),"")</f>
        <v>#VALUE!</v>
      </c>
    </row>
    <row r="342" spans="2:11">
      <c r="B342" s="10">
        <f ca="1">IF(LoanIsGood,IF(ROW()-ROW(PaymentSchedule[[#Headers],[PMT NO]])&gt;ScheduledNumberOfPayments,"",ROW()-ROW(PaymentSchedule[[#Headers],[PMT NO]])),"")</f>
        <v>326</v>
      </c>
      <c r="C342" s="12">
        <f ca="1">IF(PaymentSchedule[[#This Row],[PMT NO]]&lt;&gt;"",EOMONTH(LoanStartDate,ROW(PaymentSchedule[[#This Row],[PMT NO]])-ROW(PaymentSchedule[[#Headers],[PMT NO]])-2)+DAY(LoanStartDate),"")</f>
        <v>55855</v>
      </c>
      <c r="D34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2" s="14">
        <f ca="1">IF(PaymentSchedule[[#This Row],[PMT NO]]&lt;&gt;"",ScheduledPayment,"")</f>
        <v>1073.6432460242781</v>
      </c>
      <c r="F34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2" s="14" t="e">
        <f ca="1">IF(PaymentSchedule[[#This Row],[PMT NO]]&lt;&gt;"",PaymentSchedule[[#This Row],[TOTAL PAYMENT]]-PaymentSchedule[[#This Row],[INTEREST]],"")</f>
        <v>#VALUE!</v>
      </c>
      <c r="I342" s="14" t="e">
        <f ca="1">IF(PaymentSchedule[[#This Row],[PMT NO]]&lt;&gt;"",PaymentSchedule[[#This Row],[BEGINNING BALANCE]]*(InterestRate/PaymentsPerYear),"")</f>
        <v>#VALUE!</v>
      </c>
      <c r="J342" s="14" t="s">
        <v>32</v>
      </c>
      <c r="K342" s="14" t="e">
        <f ca="1">IF(PaymentSchedule[[#This Row],[PMT NO]]&lt;&gt;"",SUM(INDEX(PaymentSchedule[INTEREST],1,1):PaymentSchedule[[#This Row],[INTEREST]]),"")</f>
        <v>#VALUE!</v>
      </c>
    </row>
    <row r="343" spans="2:11">
      <c r="B343" s="10">
        <f ca="1">IF(LoanIsGood,IF(ROW()-ROW(PaymentSchedule[[#Headers],[PMT NO]])&gt;ScheduledNumberOfPayments,"",ROW()-ROW(PaymentSchedule[[#Headers],[PMT NO]])),"")</f>
        <v>327</v>
      </c>
      <c r="C343" s="12">
        <f ca="1">IF(PaymentSchedule[[#This Row],[PMT NO]]&lt;&gt;"",EOMONTH(LoanStartDate,ROW(PaymentSchedule[[#This Row],[PMT NO]])-ROW(PaymentSchedule[[#Headers],[PMT NO]])-2)+DAY(LoanStartDate),"")</f>
        <v>55886</v>
      </c>
      <c r="D34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3" s="14">
        <f ca="1">IF(PaymentSchedule[[#This Row],[PMT NO]]&lt;&gt;"",ScheduledPayment,"")</f>
        <v>1073.6432460242781</v>
      </c>
      <c r="F34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3" s="14" t="e">
        <f ca="1">IF(PaymentSchedule[[#This Row],[PMT NO]]&lt;&gt;"",PaymentSchedule[[#This Row],[TOTAL PAYMENT]]-PaymentSchedule[[#This Row],[INTEREST]],"")</f>
        <v>#VALUE!</v>
      </c>
      <c r="I343" s="14" t="e">
        <f ca="1">IF(PaymentSchedule[[#This Row],[PMT NO]]&lt;&gt;"",PaymentSchedule[[#This Row],[BEGINNING BALANCE]]*(InterestRate/PaymentsPerYear),"")</f>
        <v>#VALUE!</v>
      </c>
      <c r="J343" s="14" t="s">
        <v>32</v>
      </c>
      <c r="K343" s="14" t="e">
        <f ca="1">IF(PaymentSchedule[[#This Row],[PMT NO]]&lt;&gt;"",SUM(INDEX(PaymentSchedule[INTEREST],1,1):PaymentSchedule[[#This Row],[INTEREST]]),"")</f>
        <v>#VALUE!</v>
      </c>
    </row>
    <row r="344" spans="2:11">
      <c r="B344" s="10">
        <f ca="1">IF(LoanIsGood,IF(ROW()-ROW(PaymentSchedule[[#Headers],[PMT NO]])&gt;ScheduledNumberOfPayments,"",ROW()-ROW(PaymentSchedule[[#Headers],[PMT NO]])),"")</f>
        <v>328</v>
      </c>
      <c r="C344" s="12">
        <f ca="1">IF(PaymentSchedule[[#This Row],[PMT NO]]&lt;&gt;"",EOMONTH(LoanStartDate,ROW(PaymentSchedule[[#This Row],[PMT NO]])-ROW(PaymentSchedule[[#Headers],[PMT NO]])-2)+DAY(LoanStartDate),"")</f>
        <v>55917</v>
      </c>
      <c r="D34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4" s="14">
        <f ca="1">IF(PaymentSchedule[[#This Row],[PMT NO]]&lt;&gt;"",ScheduledPayment,"")</f>
        <v>1073.6432460242781</v>
      </c>
      <c r="F34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4" s="14" t="e">
        <f ca="1">IF(PaymentSchedule[[#This Row],[PMT NO]]&lt;&gt;"",PaymentSchedule[[#This Row],[TOTAL PAYMENT]]-PaymentSchedule[[#This Row],[INTEREST]],"")</f>
        <v>#VALUE!</v>
      </c>
      <c r="I344" s="14" t="e">
        <f ca="1">IF(PaymentSchedule[[#This Row],[PMT NO]]&lt;&gt;"",PaymentSchedule[[#This Row],[BEGINNING BALANCE]]*(InterestRate/PaymentsPerYear),"")</f>
        <v>#VALUE!</v>
      </c>
      <c r="J344" s="14" t="s">
        <v>32</v>
      </c>
      <c r="K344" s="14" t="e">
        <f ca="1">IF(PaymentSchedule[[#This Row],[PMT NO]]&lt;&gt;"",SUM(INDEX(PaymentSchedule[INTEREST],1,1):PaymentSchedule[[#This Row],[INTEREST]]),"")</f>
        <v>#VALUE!</v>
      </c>
    </row>
    <row r="345" spans="2:11">
      <c r="B345" s="10">
        <f ca="1">IF(LoanIsGood,IF(ROW()-ROW(PaymentSchedule[[#Headers],[PMT NO]])&gt;ScheduledNumberOfPayments,"",ROW()-ROW(PaymentSchedule[[#Headers],[PMT NO]])),"")</f>
        <v>329</v>
      </c>
      <c r="C345" s="12">
        <f ca="1">IF(PaymentSchedule[[#This Row],[PMT NO]]&lt;&gt;"",EOMONTH(LoanStartDate,ROW(PaymentSchedule[[#This Row],[PMT NO]])-ROW(PaymentSchedule[[#Headers],[PMT NO]])-2)+DAY(LoanStartDate),"")</f>
        <v>55945</v>
      </c>
      <c r="D34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5" s="14">
        <f ca="1">IF(PaymentSchedule[[#This Row],[PMT NO]]&lt;&gt;"",ScheduledPayment,"")</f>
        <v>1073.6432460242781</v>
      </c>
      <c r="F34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5" s="14" t="e">
        <f ca="1">IF(PaymentSchedule[[#This Row],[PMT NO]]&lt;&gt;"",PaymentSchedule[[#This Row],[TOTAL PAYMENT]]-PaymentSchedule[[#This Row],[INTEREST]],"")</f>
        <v>#VALUE!</v>
      </c>
      <c r="I345" s="14" t="e">
        <f ca="1">IF(PaymentSchedule[[#This Row],[PMT NO]]&lt;&gt;"",PaymentSchedule[[#This Row],[BEGINNING BALANCE]]*(InterestRate/PaymentsPerYear),"")</f>
        <v>#VALUE!</v>
      </c>
      <c r="J345" s="14" t="s">
        <v>32</v>
      </c>
      <c r="K345" s="14" t="e">
        <f ca="1">IF(PaymentSchedule[[#This Row],[PMT NO]]&lt;&gt;"",SUM(INDEX(PaymentSchedule[INTEREST],1,1):PaymentSchedule[[#This Row],[INTEREST]]),"")</f>
        <v>#VALUE!</v>
      </c>
    </row>
    <row r="346" spans="2:11">
      <c r="B346" s="10">
        <f ca="1">IF(LoanIsGood,IF(ROW()-ROW(PaymentSchedule[[#Headers],[PMT NO]])&gt;ScheduledNumberOfPayments,"",ROW()-ROW(PaymentSchedule[[#Headers],[PMT NO]])),"")</f>
        <v>330</v>
      </c>
      <c r="C346" s="12">
        <f ca="1">IF(PaymentSchedule[[#This Row],[PMT NO]]&lt;&gt;"",EOMONTH(LoanStartDate,ROW(PaymentSchedule[[#This Row],[PMT NO]])-ROW(PaymentSchedule[[#Headers],[PMT NO]])-2)+DAY(LoanStartDate),"")</f>
        <v>55976</v>
      </c>
      <c r="D34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6" s="14">
        <f ca="1">IF(PaymentSchedule[[#This Row],[PMT NO]]&lt;&gt;"",ScheduledPayment,"")</f>
        <v>1073.6432460242781</v>
      </c>
      <c r="F34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6" s="14" t="e">
        <f ca="1">IF(PaymentSchedule[[#This Row],[PMT NO]]&lt;&gt;"",PaymentSchedule[[#This Row],[TOTAL PAYMENT]]-PaymentSchedule[[#This Row],[INTEREST]],"")</f>
        <v>#VALUE!</v>
      </c>
      <c r="I346" s="14" t="e">
        <f ca="1">IF(PaymentSchedule[[#This Row],[PMT NO]]&lt;&gt;"",PaymentSchedule[[#This Row],[BEGINNING BALANCE]]*(InterestRate/PaymentsPerYear),"")</f>
        <v>#VALUE!</v>
      </c>
      <c r="J346" s="14" t="s">
        <v>32</v>
      </c>
      <c r="K346" s="14" t="e">
        <f ca="1">IF(PaymentSchedule[[#This Row],[PMT NO]]&lt;&gt;"",SUM(INDEX(PaymentSchedule[INTEREST],1,1):PaymentSchedule[[#This Row],[INTEREST]]),"")</f>
        <v>#VALUE!</v>
      </c>
    </row>
    <row r="347" spans="2:11">
      <c r="B347" s="10">
        <f ca="1">IF(LoanIsGood,IF(ROW()-ROW(PaymentSchedule[[#Headers],[PMT NO]])&gt;ScheduledNumberOfPayments,"",ROW()-ROW(PaymentSchedule[[#Headers],[PMT NO]])),"")</f>
        <v>331</v>
      </c>
      <c r="C347" s="12">
        <f ca="1">IF(PaymentSchedule[[#This Row],[PMT NO]]&lt;&gt;"",EOMONTH(LoanStartDate,ROW(PaymentSchedule[[#This Row],[PMT NO]])-ROW(PaymentSchedule[[#Headers],[PMT NO]])-2)+DAY(LoanStartDate),"")</f>
        <v>56006</v>
      </c>
      <c r="D34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7" s="14">
        <f ca="1">IF(PaymentSchedule[[#This Row],[PMT NO]]&lt;&gt;"",ScheduledPayment,"")</f>
        <v>1073.6432460242781</v>
      </c>
      <c r="F34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7" s="14" t="e">
        <f ca="1">IF(PaymentSchedule[[#This Row],[PMT NO]]&lt;&gt;"",PaymentSchedule[[#This Row],[TOTAL PAYMENT]]-PaymentSchedule[[#This Row],[INTEREST]],"")</f>
        <v>#VALUE!</v>
      </c>
      <c r="I347" s="14" t="e">
        <f ca="1">IF(PaymentSchedule[[#This Row],[PMT NO]]&lt;&gt;"",PaymentSchedule[[#This Row],[BEGINNING BALANCE]]*(InterestRate/PaymentsPerYear),"")</f>
        <v>#VALUE!</v>
      </c>
      <c r="J347" s="14" t="s">
        <v>32</v>
      </c>
      <c r="K347" s="14" t="e">
        <f ca="1">IF(PaymentSchedule[[#This Row],[PMT NO]]&lt;&gt;"",SUM(INDEX(PaymentSchedule[INTEREST],1,1):PaymentSchedule[[#This Row],[INTEREST]]),"")</f>
        <v>#VALUE!</v>
      </c>
    </row>
    <row r="348" spans="2:11">
      <c r="B348" s="10">
        <f ca="1">IF(LoanIsGood,IF(ROW()-ROW(PaymentSchedule[[#Headers],[PMT NO]])&gt;ScheduledNumberOfPayments,"",ROW()-ROW(PaymentSchedule[[#Headers],[PMT NO]])),"")</f>
        <v>332</v>
      </c>
      <c r="C348" s="12">
        <f ca="1">IF(PaymentSchedule[[#This Row],[PMT NO]]&lt;&gt;"",EOMONTH(LoanStartDate,ROW(PaymentSchedule[[#This Row],[PMT NO]])-ROW(PaymentSchedule[[#Headers],[PMT NO]])-2)+DAY(LoanStartDate),"")</f>
        <v>56037</v>
      </c>
      <c r="D34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8" s="14">
        <f ca="1">IF(PaymentSchedule[[#This Row],[PMT NO]]&lt;&gt;"",ScheduledPayment,"")</f>
        <v>1073.6432460242781</v>
      </c>
      <c r="F34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8" s="14" t="e">
        <f ca="1">IF(PaymentSchedule[[#This Row],[PMT NO]]&lt;&gt;"",PaymentSchedule[[#This Row],[TOTAL PAYMENT]]-PaymentSchedule[[#This Row],[INTEREST]],"")</f>
        <v>#VALUE!</v>
      </c>
      <c r="I348" s="14" t="e">
        <f ca="1">IF(PaymentSchedule[[#This Row],[PMT NO]]&lt;&gt;"",PaymentSchedule[[#This Row],[BEGINNING BALANCE]]*(InterestRate/PaymentsPerYear),"")</f>
        <v>#VALUE!</v>
      </c>
      <c r="J348" s="14" t="s">
        <v>32</v>
      </c>
      <c r="K348" s="14" t="e">
        <f ca="1">IF(PaymentSchedule[[#This Row],[PMT NO]]&lt;&gt;"",SUM(INDEX(PaymentSchedule[INTEREST],1,1):PaymentSchedule[[#This Row],[INTEREST]]),"")</f>
        <v>#VALUE!</v>
      </c>
    </row>
    <row r="349" spans="2:11">
      <c r="B349" s="10">
        <f ca="1">IF(LoanIsGood,IF(ROW()-ROW(PaymentSchedule[[#Headers],[PMT NO]])&gt;ScheduledNumberOfPayments,"",ROW()-ROW(PaymentSchedule[[#Headers],[PMT NO]])),"")</f>
        <v>333</v>
      </c>
      <c r="C349" s="12">
        <f ca="1">IF(PaymentSchedule[[#This Row],[PMT NO]]&lt;&gt;"",EOMONTH(LoanStartDate,ROW(PaymentSchedule[[#This Row],[PMT NO]])-ROW(PaymentSchedule[[#Headers],[PMT NO]])-2)+DAY(LoanStartDate),"")</f>
        <v>56067</v>
      </c>
      <c r="D34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49" s="14">
        <f ca="1">IF(PaymentSchedule[[#This Row],[PMT NO]]&lt;&gt;"",ScheduledPayment,"")</f>
        <v>1073.6432460242781</v>
      </c>
      <c r="F34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4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49" s="14" t="e">
        <f ca="1">IF(PaymentSchedule[[#This Row],[PMT NO]]&lt;&gt;"",PaymentSchedule[[#This Row],[TOTAL PAYMENT]]-PaymentSchedule[[#This Row],[INTEREST]],"")</f>
        <v>#VALUE!</v>
      </c>
      <c r="I349" s="14" t="e">
        <f ca="1">IF(PaymentSchedule[[#This Row],[PMT NO]]&lt;&gt;"",PaymentSchedule[[#This Row],[BEGINNING BALANCE]]*(InterestRate/PaymentsPerYear),"")</f>
        <v>#VALUE!</v>
      </c>
      <c r="J349" s="14" t="s">
        <v>32</v>
      </c>
      <c r="K349" s="14" t="e">
        <f ca="1">IF(PaymentSchedule[[#This Row],[PMT NO]]&lt;&gt;"",SUM(INDEX(PaymentSchedule[INTEREST],1,1):PaymentSchedule[[#This Row],[INTEREST]]),"")</f>
        <v>#VALUE!</v>
      </c>
    </row>
    <row r="350" spans="2:11">
      <c r="B350" s="10">
        <f ca="1">IF(LoanIsGood,IF(ROW()-ROW(PaymentSchedule[[#Headers],[PMT NO]])&gt;ScheduledNumberOfPayments,"",ROW()-ROW(PaymentSchedule[[#Headers],[PMT NO]])),"")</f>
        <v>334</v>
      </c>
      <c r="C350" s="12">
        <f ca="1">IF(PaymentSchedule[[#This Row],[PMT NO]]&lt;&gt;"",EOMONTH(LoanStartDate,ROW(PaymentSchedule[[#This Row],[PMT NO]])-ROW(PaymentSchedule[[#Headers],[PMT NO]])-2)+DAY(LoanStartDate),"")</f>
        <v>56098</v>
      </c>
      <c r="D35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0" s="14">
        <f ca="1">IF(PaymentSchedule[[#This Row],[PMT NO]]&lt;&gt;"",ScheduledPayment,"")</f>
        <v>1073.6432460242781</v>
      </c>
      <c r="F35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0" s="14" t="e">
        <f ca="1">IF(PaymentSchedule[[#This Row],[PMT NO]]&lt;&gt;"",PaymentSchedule[[#This Row],[TOTAL PAYMENT]]-PaymentSchedule[[#This Row],[INTEREST]],"")</f>
        <v>#VALUE!</v>
      </c>
      <c r="I350" s="14" t="e">
        <f ca="1">IF(PaymentSchedule[[#This Row],[PMT NO]]&lt;&gt;"",PaymentSchedule[[#This Row],[BEGINNING BALANCE]]*(InterestRate/PaymentsPerYear),"")</f>
        <v>#VALUE!</v>
      </c>
      <c r="J350" s="14" t="s">
        <v>32</v>
      </c>
      <c r="K350" s="14" t="e">
        <f ca="1">IF(PaymentSchedule[[#This Row],[PMT NO]]&lt;&gt;"",SUM(INDEX(PaymentSchedule[INTEREST],1,1):PaymentSchedule[[#This Row],[INTEREST]]),"")</f>
        <v>#VALUE!</v>
      </c>
    </row>
    <row r="351" spans="2:11">
      <c r="B351" s="10">
        <f ca="1">IF(LoanIsGood,IF(ROW()-ROW(PaymentSchedule[[#Headers],[PMT NO]])&gt;ScheduledNumberOfPayments,"",ROW()-ROW(PaymentSchedule[[#Headers],[PMT NO]])),"")</f>
        <v>335</v>
      </c>
      <c r="C351" s="12">
        <f ca="1">IF(PaymentSchedule[[#This Row],[PMT NO]]&lt;&gt;"",EOMONTH(LoanStartDate,ROW(PaymentSchedule[[#This Row],[PMT NO]])-ROW(PaymentSchedule[[#Headers],[PMT NO]])-2)+DAY(LoanStartDate),"")</f>
        <v>56129</v>
      </c>
      <c r="D35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1" s="14">
        <f ca="1">IF(PaymentSchedule[[#This Row],[PMT NO]]&lt;&gt;"",ScheduledPayment,"")</f>
        <v>1073.6432460242781</v>
      </c>
      <c r="F35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1" s="14" t="e">
        <f ca="1">IF(PaymentSchedule[[#This Row],[PMT NO]]&lt;&gt;"",PaymentSchedule[[#This Row],[TOTAL PAYMENT]]-PaymentSchedule[[#This Row],[INTEREST]],"")</f>
        <v>#VALUE!</v>
      </c>
      <c r="I351" s="14" t="e">
        <f ca="1">IF(PaymentSchedule[[#This Row],[PMT NO]]&lt;&gt;"",PaymentSchedule[[#This Row],[BEGINNING BALANCE]]*(InterestRate/PaymentsPerYear),"")</f>
        <v>#VALUE!</v>
      </c>
      <c r="J351" s="14" t="s">
        <v>32</v>
      </c>
      <c r="K351" s="14" t="e">
        <f ca="1">IF(PaymentSchedule[[#This Row],[PMT NO]]&lt;&gt;"",SUM(INDEX(PaymentSchedule[INTEREST],1,1):PaymentSchedule[[#This Row],[INTEREST]]),"")</f>
        <v>#VALUE!</v>
      </c>
    </row>
    <row r="352" spans="2:11">
      <c r="B352" s="10">
        <f ca="1">IF(LoanIsGood,IF(ROW()-ROW(PaymentSchedule[[#Headers],[PMT NO]])&gt;ScheduledNumberOfPayments,"",ROW()-ROW(PaymentSchedule[[#Headers],[PMT NO]])),"")</f>
        <v>336</v>
      </c>
      <c r="C352" s="12">
        <f ca="1">IF(PaymentSchedule[[#This Row],[PMT NO]]&lt;&gt;"",EOMONTH(LoanStartDate,ROW(PaymentSchedule[[#This Row],[PMT NO]])-ROW(PaymentSchedule[[#Headers],[PMT NO]])-2)+DAY(LoanStartDate),"")</f>
        <v>56159</v>
      </c>
      <c r="D35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2" s="14">
        <f ca="1">IF(PaymentSchedule[[#This Row],[PMT NO]]&lt;&gt;"",ScheduledPayment,"")</f>
        <v>1073.6432460242781</v>
      </c>
      <c r="F35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2" s="14" t="e">
        <f ca="1">IF(PaymentSchedule[[#This Row],[PMT NO]]&lt;&gt;"",PaymentSchedule[[#This Row],[TOTAL PAYMENT]]-PaymentSchedule[[#This Row],[INTEREST]],"")</f>
        <v>#VALUE!</v>
      </c>
      <c r="I352" s="14" t="e">
        <f ca="1">IF(PaymentSchedule[[#This Row],[PMT NO]]&lt;&gt;"",PaymentSchedule[[#This Row],[BEGINNING BALANCE]]*(InterestRate/PaymentsPerYear),"")</f>
        <v>#VALUE!</v>
      </c>
      <c r="J352" s="14" t="s">
        <v>32</v>
      </c>
      <c r="K352" s="14" t="e">
        <f ca="1">IF(PaymentSchedule[[#This Row],[PMT NO]]&lt;&gt;"",SUM(INDEX(PaymentSchedule[INTEREST],1,1):PaymentSchedule[[#This Row],[INTEREST]]),"")</f>
        <v>#VALUE!</v>
      </c>
    </row>
    <row r="353" spans="2:11">
      <c r="B353" s="10">
        <f ca="1">IF(LoanIsGood,IF(ROW()-ROW(PaymentSchedule[[#Headers],[PMT NO]])&gt;ScheduledNumberOfPayments,"",ROW()-ROW(PaymentSchedule[[#Headers],[PMT NO]])),"")</f>
        <v>337</v>
      </c>
      <c r="C353" s="12">
        <f ca="1">IF(PaymentSchedule[[#This Row],[PMT NO]]&lt;&gt;"",EOMONTH(LoanStartDate,ROW(PaymentSchedule[[#This Row],[PMT NO]])-ROW(PaymentSchedule[[#Headers],[PMT NO]])-2)+DAY(LoanStartDate),"")</f>
        <v>56190</v>
      </c>
      <c r="D35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3" s="14">
        <f ca="1">IF(PaymentSchedule[[#This Row],[PMT NO]]&lt;&gt;"",ScheduledPayment,"")</f>
        <v>1073.6432460242781</v>
      </c>
      <c r="F35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3" s="14" t="e">
        <f ca="1">IF(PaymentSchedule[[#This Row],[PMT NO]]&lt;&gt;"",PaymentSchedule[[#This Row],[TOTAL PAYMENT]]-PaymentSchedule[[#This Row],[INTEREST]],"")</f>
        <v>#VALUE!</v>
      </c>
      <c r="I353" s="14" t="e">
        <f ca="1">IF(PaymentSchedule[[#This Row],[PMT NO]]&lt;&gt;"",PaymentSchedule[[#This Row],[BEGINNING BALANCE]]*(InterestRate/PaymentsPerYear),"")</f>
        <v>#VALUE!</v>
      </c>
      <c r="J353" s="14" t="s">
        <v>32</v>
      </c>
      <c r="K353" s="14" t="e">
        <f ca="1">IF(PaymentSchedule[[#This Row],[PMT NO]]&lt;&gt;"",SUM(INDEX(PaymentSchedule[INTEREST],1,1):PaymentSchedule[[#This Row],[INTEREST]]),"")</f>
        <v>#VALUE!</v>
      </c>
    </row>
    <row r="354" spans="2:11">
      <c r="B354" s="10">
        <f ca="1">IF(LoanIsGood,IF(ROW()-ROW(PaymentSchedule[[#Headers],[PMT NO]])&gt;ScheduledNumberOfPayments,"",ROW()-ROW(PaymentSchedule[[#Headers],[PMT NO]])),"")</f>
        <v>338</v>
      </c>
      <c r="C354" s="12">
        <f ca="1">IF(PaymentSchedule[[#This Row],[PMT NO]]&lt;&gt;"",EOMONTH(LoanStartDate,ROW(PaymentSchedule[[#This Row],[PMT NO]])-ROW(PaymentSchedule[[#Headers],[PMT NO]])-2)+DAY(LoanStartDate),"")</f>
        <v>56220</v>
      </c>
      <c r="D35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4" s="14">
        <f ca="1">IF(PaymentSchedule[[#This Row],[PMT NO]]&lt;&gt;"",ScheduledPayment,"")</f>
        <v>1073.6432460242781</v>
      </c>
      <c r="F35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4" s="14" t="e">
        <f ca="1">IF(PaymentSchedule[[#This Row],[PMT NO]]&lt;&gt;"",PaymentSchedule[[#This Row],[TOTAL PAYMENT]]-PaymentSchedule[[#This Row],[INTEREST]],"")</f>
        <v>#VALUE!</v>
      </c>
      <c r="I354" s="14" t="e">
        <f ca="1">IF(PaymentSchedule[[#This Row],[PMT NO]]&lt;&gt;"",PaymentSchedule[[#This Row],[BEGINNING BALANCE]]*(InterestRate/PaymentsPerYear),"")</f>
        <v>#VALUE!</v>
      </c>
      <c r="J354" s="14" t="s">
        <v>32</v>
      </c>
      <c r="K354" s="14" t="e">
        <f ca="1">IF(PaymentSchedule[[#This Row],[PMT NO]]&lt;&gt;"",SUM(INDEX(PaymentSchedule[INTEREST],1,1):PaymentSchedule[[#This Row],[INTEREST]]),"")</f>
        <v>#VALUE!</v>
      </c>
    </row>
    <row r="355" spans="2:11">
      <c r="B355" s="10">
        <f ca="1">IF(LoanIsGood,IF(ROW()-ROW(PaymentSchedule[[#Headers],[PMT NO]])&gt;ScheduledNumberOfPayments,"",ROW()-ROW(PaymentSchedule[[#Headers],[PMT NO]])),"")</f>
        <v>339</v>
      </c>
      <c r="C355" s="12">
        <f ca="1">IF(PaymentSchedule[[#This Row],[PMT NO]]&lt;&gt;"",EOMONTH(LoanStartDate,ROW(PaymentSchedule[[#This Row],[PMT NO]])-ROW(PaymentSchedule[[#Headers],[PMT NO]])-2)+DAY(LoanStartDate),"")</f>
        <v>56251</v>
      </c>
      <c r="D35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5" s="14">
        <f ca="1">IF(PaymentSchedule[[#This Row],[PMT NO]]&lt;&gt;"",ScheduledPayment,"")</f>
        <v>1073.6432460242781</v>
      </c>
      <c r="F35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5" s="14" t="e">
        <f ca="1">IF(PaymentSchedule[[#This Row],[PMT NO]]&lt;&gt;"",PaymentSchedule[[#This Row],[TOTAL PAYMENT]]-PaymentSchedule[[#This Row],[INTEREST]],"")</f>
        <v>#VALUE!</v>
      </c>
      <c r="I355" s="14" t="e">
        <f ca="1">IF(PaymentSchedule[[#This Row],[PMT NO]]&lt;&gt;"",PaymentSchedule[[#This Row],[BEGINNING BALANCE]]*(InterestRate/PaymentsPerYear),"")</f>
        <v>#VALUE!</v>
      </c>
      <c r="J355" s="14" t="s">
        <v>32</v>
      </c>
      <c r="K355" s="14" t="e">
        <f ca="1">IF(PaymentSchedule[[#This Row],[PMT NO]]&lt;&gt;"",SUM(INDEX(PaymentSchedule[INTEREST],1,1):PaymentSchedule[[#This Row],[INTEREST]]),"")</f>
        <v>#VALUE!</v>
      </c>
    </row>
    <row r="356" spans="2:11">
      <c r="B356" s="10">
        <f ca="1">IF(LoanIsGood,IF(ROW()-ROW(PaymentSchedule[[#Headers],[PMT NO]])&gt;ScheduledNumberOfPayments,"",ROW()-ROW(PaymentSchedule[[#Headers],[PMT NO]])),"")</f>
        <v>340</v>
      </c>
      <c r="C356" s="12">
        <f ca="1">IF(PaymentSchedule[[#This Row],[PMT NO]]&lt;&gt;"",EOMONTH(LoanStartDate,ROW(PaymentSchedule[[#This Row],[PMT NO]])-ROW(PaymentSchedule[[#Headers],[PMT NO]])-2)+DAY(LoanStartDate),"")</f>
        <v>56282</v>
      </c>
      <c r="D35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6" s="14">
        <f ca="1">IF(PaymentSchedule[[#This Row],[PMT NO]]&lt;&gt;"",ScheduledPayment,"")</f>
        <v>1073.6432460242781</v>
      </c>
      <c r="F35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6" s="14" t="e">
        <f ca="1">IF(PaymentSchedule[[#This Row],[PMT NO]]&lt;&gt;"",PaymentSchedule[[#This Row],[TOTAL PAYMENT]]-PaymentSchedule[[#This Row],[INTEREST]],"")</f>
        <v>#VALUE!</v>
      </c>
      <c r="I356" s="14" t="e">
        <f ca="1">IF(PaymentSchedule[[#This Row],[PMT NO]]&lt;&gt;"",PaymentSchedule[[#This Row],[BEGINNING BALANCE]]*(InterestRate/PaymentsPerYear),"")</f>
        <v>#VALUE!</v>
      </c>
      <c r="J356" s="14" t="s">
        <v>32</v>
      </c>
      <c r="K356" s="14" t="e">
        <f ca="1">IF(PaymentSchedule[[#This Row],[PMT NO]]&lt;&gt;"",SUM(INDEX(PaymentSchedule[INTEREST],1,1):PaymentSchedule[[#This Row],[INTEREST]]),"")</f>
        <v>#VALUE!</v>
      </c>
    </row>
    <row r="357" spans="2:11">
      <c r="B357" s="10">
        <f ca="1">IF(LoanIsGood,IF(ROW()-ROW(PaymentSchedule[[#Headers],[PMT NO]])&gt;ScheduledNumberOfPayments,"",ROW()-ROW(PaymentSchedule[[#Headers],[PMT NO]])),"")</f>
        <v>341</v>
      </c>
      <c r="C357" s="12">
        <f ca="1">IF(PaymentSchedule[[#This Row],[PMT NO]]&lt;&gt;"",EOMONTH(LoanStartDate,ROW(PaymentSchedule[[#This Row],[PMT NO]])-ROW(PaymentSchedule[[#Headers],[PMT NO]])-2)+DAY(LoanStartDate),"")</f>
        <v>56310</v>
      </c>
      <c r="D35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7" s="14">
        <f ca="1">IF(PaymentSchedule[[#This Row],[PMT NO]]&lt;&gt;"",ScheduledPayment,"")</f>
        <v>1073.6432460242781</v>
      </c>
      <c r="F35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7" s="14" t="e">
        <f ca="1">IF(PaymentSchedule[[#This Row],[PMT NO]]&lt;&gt;"",PaymentSchedule[[#This Row],[TOTAL PAYMENT]]-PaymentSchedule[[#This Row],[INTEREST]],"")</f>
        <v>#VALUE!</v>
      </c>
      <c r="I357" s="14" t="e">
        <f ca="1">IF(PaymentSchedule[[#This Row],[PMT NO]]&lt;&gt;"",PaymentSchedule[[#This Row],[BEGINNING BALANCE]]*(InterestRate/PaymentsPerYear),"")</f>
        <v>#VALUE!</v>
      </c>
      <c r="J357" s="14" t="s">
        <v>32</v>
      </c>
      <c r="K357" s="14" t="e">
        <f ca="1">IF(PaymentSchedule[[#This Row],[PMT NO]]&lt;&gt;"",SUM(INDEX(PaymentSchedule[INTEREST],1,1):PaymentSchedule[[#This Row],[INTEREST]]),"")</f>
        <v>#VALUE!</v>
      </c>
    </row>
    <row r="358" spans="2:11">
      <c r="B358" s="10">
        <f ca="1">IF(LoanIsGood,IF(ROW()-ROW(PaymentSchedule[[#Headers],[PMT NO]])&gt;ScheduledNumberOfPayments,"",ROW()-ROW(PaymentSchedule[[#Headers],[PMT NO]])),"")</f>
        <v>342</v>
      </c>
      <c r="C358" s="12">
        <f ca="1">IF(PaymentSchedule[[#This Row],[PMT NO]]&lt;&gt;"",EOMONTH(LoanStartDate,ROW(PaymentSchedule[[#This Row],[PMT NO]])-ROW(PaymentSchedule[[#Headers],[PMT NO]])-2)+DAY(LoanStartDate),"")</f>
        <v>56341</v>
      </c>
      <c r="D35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8" s="14">
        <f ca="1">IF(PaymentSchedule[[#This Row],[PMT NO]]&lt;&gt;"",ScheduledPayment,"")</f>
        <v>1073.6432460242781</v>
      </c>
      <c r="F35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8" s="14" t="e">
        <f ca="1">IF(PaymentSchedule[[#This Row],[PMT NO]]&lt;&gt;"",PaymentSchedule[[#This Row],[TOTAL PAYMENT]]-PaymentSchedule[[#This Row],[INTEREST]],"")</f>
        <v>#VALUE!</v>
      </c>
      <c r="I358" s="14" t="e">
        <f ca="1">IF(PaymentSchedule[[#This Row],[PMT NO]]&lt;&gt;"",PaymentSchedule[[#This Row],[BEGINNING BALANCE]]*(InterestRate/PaymentsPerYear),"")</f>
        <v>#VALUE!</v>
      </c>
      <c r="J358" s="14" t="s">
        <v>32</v>
      </c>
      <c r="K358" s="14" t="e">
        <f ca="1">IF(PaymentSchedule[[#This Row],[PMT NO]]&lt;&gt;"",SUM(INDEX(PaymentSchedule[INTEREST],1,1):PaymentSchedule[[#This Row],[INTEREST]]),"")</f>
        <v>#VALUE!</v>
      </c>
    </row>
    <row r="359" spans="2:11">
      <c r="B359" s="10">
        <f ca="1">IF(LoanIsGood,IF(ROW()-ROW(PaymentSchedule[[#Headers],[PMT NO]])&gt;ScheduledNumberOfPayments,"",ROW()-ROW(PaymentSchedule[[#Headers],[PMT NO]])),"")</f>
        <v>343</v>
      </c>
      <c r="C359" s="12">
        <f ca="1">IF(PaymentSchedule[[#This Row],[PMT NO]]&lt;&gt;"",EOMONTH(LoanStartDate,ROW(PaymentSchedule[[#This Row],[PMT NO]])-ROW(PaymentSchedule[[#Headers],[PMT NO]])-2)+DAY(LoanStartDate),"")</f>
        <v>56371</v>
      </c>
      <c r="D35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59" s="14">
        <f ca="1">IF(PaymentSchedule[[#This Row],[PMT NO]]&lt;&gt;"",ScheduledPayment,"")</f>
        <v>1073.6432460242781</v>
      </c>
      <c r="F35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5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59" s="14" t="e">
        <f ca="1">IF(PaymentSchedule[[#This Row],[PMT NO]]&lt;&gt;"",PaymentSchedule[[#This Row],[TOTAL PAYMENT]]-PaymentSchedule[[#This Row],[INTEREST]],"")</f>
        <v>#VALUE!</v>
      </c>
      <c r="I359" s="14" t="e">
        <f ca="1">IF(PaymentSchedule[[#This Row],[PMT NO]]&lt;&gt;"",PaymentSchedule[[#This Row],[BEGINNING BALANCE]]*(InterestRate/PaymentsPerYear),"")</f>
        <v>#VALUE!</v>
      </c>
      <c r="J359" s="14" t="s">
        <v>32</v>
      </c>
      <c r="K359" s="14" t="e">
        <f ca="1">IF(PaymentSchedule[[#This Row],[PMT NO]]&lt;&gt;"",SUM(INDEX(PaymentSchedule[INTEREST],1,1):PaymentSchedule[[#This Row],[INTEREST]]),"")</f>
        <v>#VALUE!</v>
      </c>
    </row>
    <row r="360" spans="2:11">
      <c r="B360" s="10">
        <f ca="1">IF(LoanIsGood,IF(ROW()-ROW(PaymentSchedule[[#Headers],[PMT NO]])&gt;ScheduledNumberOfPayments,"",ROW()-ROW(PaymentSchedule[[#Headers],[PMT NO]])),"")</f>
        <v>344</v>
      </c>
      <c r="C360" s="12">
        <f ca="1">IF(PaymentSchedule[[#This Row],[PMT NO]]&lt;&gt;"",EOMONTH(LoanStartDate,ROW(PaymentSchedule[[#This Row],[PMT NO]])-ROW(PaymentSchedule[[#Headers],[PMT NO]])-2)+DAY(LoanStartDate),"")</f>
        <v>56402</v>
      </c>
      <c r="D36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0" s="14">
        <f ca="1">IF(PaymentSchedule[[#This Row],[PMT NO]]&lt;&gt;"",ScheduledPayment,"")</f>
        <v>1073.6432460242781</v>
      </c>
      <c r="F36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0" s="14" t="e">
        <f ca="1">IF(PaymentSchedule[[#This Row],[PMT NO]]&lt;&gt;"",PaymentSchedule[[#This Row],[TOTAL PAYMENT]]-PaymentSchedule[[#This Row],[INTEREST]],"")</f>
        <v>#VALUE!</v>
      </c>
      <c r="I360" s="14" t="e">
        <f ca="1">IF(PaymentSchedule[[#This Row],[PMT NO]]&lt;&gt;"",PaymentSchedule[[#This Row],[BEGINNING BALANCE]]*(InterestRate/PaymentsPerYear),"")</f>
        <v>#VALUE!</v>
      </c>
      <c r="J360" s="14" t="s">
        <v>32</v>
      </c>
      <c r="K360" s="14" t="e">
        <f ca="1">IF(PaymentSchedule[[#This Row],[PMT NO]]&lt;&gt;"",SUM(INDEX(PaymentSchedule[INTEREST],1,1):PaymentSchedule[[#This Row],[INTEREST]]),"")</f>
        <v>#VALUE!</v>
      </c>
    </row>
    <row r="361" spans="2:11">
      <c r="B361" s="10">
        <f ca="1">IF(LoanIsGood,IF(ROW()-ROW(PaymentSchedule[[#Headers],[PMT NO]])&gt;ScheduledNumberOfPayments,"",ROW()-ROW(PaymentSchedule[[#Headers],[PMT NO]])),"")</f>
        <v>345</v>
      </c>
      <c r="C361" s="12">
        <f ca="1">IF(PaymentSchedule[[#This Row],[PMT NO]]&lt;&gt;"",EOMONTH(LoanStartDate,ROW(PaymentSchedule[[#This Row],[PMT NO]])-ROW(PaymentSchedule[[#Headers],[PMT NO]])-2)+DAY(LoanStartDate),"")</f>
        <v>56432</v>
      </c>
      <c r="D36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1" s="14">
        <f ca="1">IF(PaymentSchedule[[#This Row],[PMT NO]]&lt;&gt;"",ScheduledPayment,"")</f>
        <v>1073.6432460242781</v>
      </c>
      <c r="F36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1" s="14" t="e">
        <f ca="1">IF(PaymentSchedule[[#This Row],[PMT NO]]&lt;&gt;"",PaymentSchedule[[#This Row],[TOTAL PAYMENT]]-PaymentSchedule[[#This Row],[INTEREST]],"")</f>
        <v>#VALUE!</v>
      </c>
      <c r="I361" s="14" t="e">
        <f ca="1">IF(PaymentSchedule[[#This Row],[PMT NO]]&lt;&gt;"",PaymentSchedule[[#This Row],[BEGINNING BALANCE]]*(InterestRate/PaymentsPerYear),"")</f>
        <v>#VALUE!</v>
      </c>
      <c r="J361" s="14" t="s">
        <v>32</v>
      </c>
      <c r="K361" s="14" t="e">
        <f ca="1">IF(PaymentSchedule[[#This Row],[PMT NO]]&lt;&gt;"",SUM(INDEX(PaymentSchedule[INTEREST],1,1):PaymentSchedule[[#This Row],[INTEREST]]),"")</f>
        <v>#VALUE!</v>
      </c>
    </row>
    <row r="362" spans="2:11">
      <c r="B362" s="10">
        <f ca="1">IF(LoanIsGood,IF(ROW()-ROW(PaymentSchedule[[#Headers],[PMT NO]])&gt;ScheduledNumberOfPayments,"",ROW()-ROW(PaymentSchedule[[#Headers],[PMT NO]])),"")</f>
        <v>346</v>
      </c>
      <c r="C362" s="12">
        <f ca="1">IF(PaymentSchedule[[#This Row],[PMT NO]]&lt;&gt;"",EOMONTH(LoanStartDate,ROW(PaymentSchedule[[#This Row],[PMT NO]])-ROW(PaymentSchedule[[#Headers],[PMT NO]])-2)+DAY(LoanStartDate),"")</f>
        <v>56463</v>
      </c>
      <c r="D36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2" s="14">
        <f ca="1">IF(PaymentSchedule[[#This Row],[PMT NO]]&lt;&gt;"",ScheduledPayment,"")</f>
        <v>1073.6432460242781</v>
      </c>
      <c r="F36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2" s="14" t="e">
        <f ca="1">IF(PaymentSchedule[[#This Row],[PMT NO]]&lt;&gt;"",PaymentSchedule[[#This Row],[TOTAL PAYMENT]]-PaymentSchedule[[#This Row],[INTEREST]],"")</f>
        <v>#VALUE!</v>
      </c>
      <c r="I362" s="14" t="e">
        <f ca="1">IF(PaymentSchedule[[#This Row],[PMT NO]]&lt;&gt;"",PaymentSchedule[[#This Row],[BEGINNING BALANCE]]*(InterestRate/PaymentsPerYear),"")</f>
        <v>#VALUE!</v>
      </c>
      <c r="J362" s="14" t="s">
        <v>32</v>
      </c>
      <c r="K362" s="14" t="e">
        <f ca="1">IF(PaymentSchedule[[#This Row],[PMT NO]]&lt;&gt;"",SUM(INDEX(PaymentSchedule[INTEREST],1,1):PaymentSchedule[[#This Row],[INTEREST]]),"")</f>
        <v>#VALUE!</v>
      </c>
    </row>
    <row r="363" spans="2:11">
      <c r="B363" s="10">
        <f ca="1">IF(LoanIsGood,IF(ROW()-ROW(PaymentSchedule[[#Headers],[PMT NO]])&gt;ScheduledNumberOfPayments,"",ROW()-ROW(PaymentSchedule[[#Headers],[PMT NO]])),"")</f>
        <v>347</v>
      </c>
      <c r="C363" s="12">
        <f ca="1">IF(PaymentSchedule[[#This Row],[PMT NO]]&lt;&gt;"",EOMONTH(LoanStartDate,ROW(PaymentSchedule[[#This Row],[PMT NO]])-ROW(PaymentSchedule[[#Headers],[PMT NO]])-2)+DAY(LoanStartDate),"")</f>
        <v>56494</v>
      </c>
      <c r="D36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3" s="14">
        <f ca="1">IF(PaymentSchedule[[#This Row],[PMT NO]]&lt;&gt;"",ScheduledPayment,"")</f>
        <v>1073.6432460242781</v>
      </c>
      <c r="F36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3" s="14" t="e">
        <f ca="1">IF(PaymentSchedule[[#This Row],[PMT NO]]&lt;&gt;"",PaymentSchedule[[#This Row],[TOTAL PAYMENT]]-PaymentSchedule[[#This Row],[INTEREST]],"")</f>
        <v>#VALUE!</v>
      </c>
      <c r="I363" s="14" t="e">
        <f ca="1">IF(PaymentSchedule[[#This Row],[PMT NO]]&lt;&gt;"",PaymentSchedule[[#This Row],[BEGINNING BALANCE]]*(InterestRate/PaymentsPerYear),"")</f>
        <v>#VALUE!</v>
      </c>
      <c r="J363" s="14" t="s">
        <v>32</v>
      </c>
      <c r="K363" s="14" t="e">
        <f ca="1">IF(PaymentSchedule[[#This Row],[PMT NO]]&lt;&gt;"",SUM(INDEX(PaymentSchedule[INTEREST],1,1):PaymentSchedule[[#This Row],[INTEREST]]),"")</f>
        <v>#VALUE!</v>
      </c>
    </row>
    <row r="364" spans="2:11">
      <c r="B364" s="10">
        <f ca="1">IF(LoanIsGood,IF(ROW()-ROW(PaymentSchedule[[#Headers],[PMT NO]])&gt;ScheduledNumberOfPayments,"",ROW()-ROW(PaymentSchedule[[#Headers],[PMT NO]])),"")</f>
        <v>348</v>
      </c>
      <c r="C364" s="12">
        <f ca="1">IF(PaymentSchedule[[#This Row],[PMT NO]]&lt;&gt;"",EOMONTH(LoanStartDate,ROW(PaymentSchedule[[#This Row],[PMT NO]])-ROW(PaymentSchedule[[#Headers],[PMT NO]])-2)+DAY(LoanStartDate),"")</f>
        <v>56524</v>
      </c>
      <c r="D36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4" s="14">
        <f ca="1">IF(PaymentSchedule[[#This Row],[PMT NO]]&lt;&gt;"",ScheduledPayment,"")</f>
        <v>1073.6432460242781</v>
      </c>
      <c r="F36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4" s="14" t="e">
        <f ca="1">IF(PaymentSchedule[[#This Row],[PMT NO]]&lt;&gt;"",PaymentSchedule[[#This Row],[TOTAL PAYMENT]]-PaymentSchedule[[#This Row],[INTEREST]],"")</f>
        <v>#VALUE!</v>
      </c>
      <c r="I364" s="14" t="e">
        <f ca="1">IF(PaymentSchedule[[#This Row],[PMT NO]]&lt;&gt;"",PaymentSchedule[[#This Row],[BEGINNING BALANCE]]*(InterestRate/PaymentsPerYear),"")</f>
        <v>#VALUE!</v>
      </c>
      <c r="J364" s="14" t="s">
        <v>32</v>
      </c>
      <c r="K364" s="14" t="e">
        <f ca="1">IF(PaymentSchedule[[#This Row],[PMT NO]]&lt;&gt;"",SUM(INDEX(PaymentSchedule[INTEREST],1,1):PaymentSchedule[[#This Row],[INTEREST]]),"")</f>
        <v>#VALUE!</v>
      </c>
    </row>
    <row r="365" spans="2:11">
      <c r="B365" s="10">
        <f ca="1">IF(LoanIsGood,IF(ROW()-ROW(PaymentSchedule[[#Headers],[PMT NO]])&gt;ScheduledNumberOfPayments,"",ROW()-ROW(PaymentSchedule[[#Headers],[PMT NO]])),"")</f>
        <v>349</v>
      </c>
      <c r="C365" s="12">
        <f ca="1">IF(PaymentSchedule[[#This Row],[PMT NO]]&lt;&gt;"",EOMONTH(LoanStartDate,ROW(PaymentSchedule[[#This Row],[PMT NO]])-ROW(PaymentSchedule[[#Headers],[PMT NO]])-2)+DAY(LoanStartDate),"")</f>
        <v>56555</v>
      </c>
      <c r="D36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5" s="14">
        <f ca="1">IF(PaymentSchedule[[#This Row],[PMT NO]]&lt;&gt;"",ScheduledPayment,"")</f>
        <v>1073.6432460242781</v>
      </c>
      <c r="F36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5" s="14" t="e">
        <f ca="1">IF(PaymentSchedule[[#This Row],[PMT NO]]&lt;&gt;"",PaymentSchedule[[#This Row],[TOTAL PAYMENT]]-PaymentSchedule[[#This Row],[INTEREST]],"")</f>
        <v>#VALUE!</v>
      </c>
      <c r="I365" s="14" t="e">
        <f ca="1">IF(PaymentSchedule[[#This Row],[PMT NO]]&lt;&gt;"",PaymentSchedule[[#This Row],[BEGINNING BALANCE]]*(InterestRate/PaymentsPerYear),"")</f>
        <v>#VALUE!</v>
      </c>
      <c r="J365" s="14" t="s">
        <v>32</v>
      </c>
      <c r="K365" s="14" t="e">
        <f ca="1">IF(PaymentSchedule[[#This Row],[PMT NO]]&lt;&gt;"",SUM(INDEX(PaymentSchedule[INTEREST],1,1):PaymentSchedule[[#This Row],[INTEREST]]),"")</f>
        <v>#VALUE!</v>
      </c>
    </row>
    <row r="366" spans="2:11">
      <c r="B366" s="10">
        <f ca="1">IF(LoanIsGood,IF(ROW()-ROW(PaymentSchedule[[#Headers],[PMT NO]])&gt;ScheduledNumberOfPayments,"",ROW()-ROW(PaymentSchedule[[#Headers],[PMT NO]])),"")</f>
        <v>350</v>
      </c>
      <c r="C366" s="12">
        <f ca="1">IF(PaymentSchedule[[#This Row],[PMT NO]]&lt;&gt;"",EOMONTH(LoanStartDate,ROW(PaymentSchedule[[#This Row],[PMT NO]])-ROW(PaymentSchedule[[#Headers],[PMT NO]])-2)+DAY(LoanStartDate),"")</f>
        <v>56585</v>
      </c>
      <c r="D36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6" s="14">
        <f ca="1">IF(PaymentSchedule[[#This Row],[PMT NO]]&lt;&gt;"",ScheduledPayment,"")</f>
        <v>1073.6432460242781</v>
      </c>
      <c r="F36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6" s="14" t="e">
        <f ca="1">IF(PaymentSchedule[[#This Row],[PMT NO]]&lt;&gt;"",PaymentSchedule[[#This Row],[TOTAL PAYMENT]]-PaymentSchedule[[#This Row],[INTEREST]],"")</f>
        <v>#VALUE!</v>
      </c>
      <c r="I366" s="14" t="e">
        <f ca="1">IF(PaymentSchedule[[#This Row],[PMT NO]]&lt;&gt;"",PaymentSchedule[[#This Row],[BEGINNING BALANCE]]*(InterestRate/PaymentsPerYear),"")</f>
        <v>#VALUE!</v>
      </c>
      <c r="J366" s="14" t="s">
        <v>32</v>
      </c>
      <c r="K366" s="14" t="e">
        <f ca="1">IF(PaymentSchedule[[#This Row],[PMT NO]]&lt;&gt;"",SUM(INDEX(PaymentSchedule[INTEREST],1,1):PaymentSchedule[[#This Row],[INTEREST]]),"")</f>
        <v>#VALUE!</v>
      </c>
    </row>
    <row r="367" spans="2:11">
      <c r="B367" s="10">
        <f ca="1">IF(LoanIsGood,IF(ROW()-ROW(PaymentSchedule[[#Headers],[PMT NO]])&gt;ScheduledNumberOfPayments,"",ROW()-ROW(PaymentSchedule[[#Headers],[PMT NO]])),"")</f>
        <v>351</v>
      </c>
      <c r="C367" s="12">
        <f ca="1">IF(PaymentSchedule[[#This Row],[PMT NO]]&lt;&gt;"",EOMONTH(LoanStartDate,ROW(PaymentSchedule[[#This Row],[PMT NO]])-ROW(PaymentSchedule[[#Headers],[PMT NO]])-2)+DAY(LoanStartDate),"")</f>
        <v>56616</v>
      </c>
      <c r="D367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7" s="14">
        <f ca="1">IF(PaymentSchedule[[#This Row],[PMT NO]]&lt;&gt;"",ScheduledPayment,"")</f>
        <v>1073.6432460242781</v>
      </c>
      <c r="F367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7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7" s="14" t="e">
        <f ca="1">IF(PaymentSchedule[[#This Row],[PMT NO]]&lt;&gt;"",PaymentSchedule[[#This Row],[TOTAL PAYMENT]]-PaymentSchedule[[#This Row],[INTEREST]],"")</f>
        <v>#VALUE!</v>
      </c>
      <c r="I367" s="14" t="e">
        <f ca="1">IF(PaymentSchedule[[#This Row],[PMT NO]]&lt;&gt;"",PaymentSchedule[[#This Row],[BEGINNING BALANCE]]*(InterestRate/PaymentsPerYear),"")</f>
        <v>#VALUE!</v>
      </c>
      <c r="J367" s="14" t="s">
        <v>32</v>
      </c>
      <c r="K367" s="14" t="e">
        <f ca="1">IF(PaymentSchedule[[#This Row],[PMT NO]]&lt;&gt;"",SUM(INDEX(PaymentSchedule[INTEREST],1,1):PaymentSchedule[[#This Row],[INTEREST]]),"")</f>
        <v>#VALUE!</v>
      </c>
    </row>
    <row r="368" spans="2:11">
      <c r="B368" s="10">
        <f ca="1">IF(LoanIsGood,IF(ROW()-ROW(PaymentSchedule[[#Headers],[PMT NO]])&gt;ScheduledNumberOfPayments,"",ROW()-ROW(PaymentSchedule[[#Headers],[PMT NO]])),"")</f>
        <v>352</v>
      </c>
      <c r="C368" s="12">
        <f ca="1">IF(PaymentSchedule[[#This Row],[PMT NO]]&lt;&gt;"",EOMONTH(LoanStartDate,ROW(PaymentSchedule[[#This Row],[PMT NO]])-ROW(PaymentSchedule[[#Headers],[PMT NO]])-2)+DAY(LoanStartDate),"")</f>
        <v>56647</v>
      </c>
      <c r="D368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8" s="14">
        <f ca="1">IF(PaymentSchedule[[#This Row],[PMT NO]]&lt;&gt;"",ScheduledPayment,"")</f>
        <v>1073.6432460242781</v>
      </c>
      <c r="F368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8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8" s="14" t="e">
        <f ca="1">IF(PaymentSchedule[[#This Row],[PMT NO]]&lt;&gt;"",PaymentSchedule[[#This Row],[TOTAL PAYMENT]]-PaymentSchedule[[#This Row],[INTEREST]],"")</f>
        <v>#VALUE!</v>
      </c>
      <c r="I368" s="14" t="e">
        <f ca="1">IF(PaymentSchedule[[#This Row],[PMT NO]]&lt;&gt;"",PaymentSchedule[[#This Row],[BEGINNING BALANCE]]*(InterestRate/PaymentsPerYear),"")</f>
        <v>#VALUE!</v>
      </c>
      <c r="J368" s="14" t="s">
        <v>32</v>
      </c>
      <c r="K368" s="14" t="e">
        <f ca="1">IF(PaymentSchedule[[#This Row],[PMT NO]]&lt;&gt;"",SUM(INDEX(PaymentSchedule[INTEREST],1,1):PaymentSchedule[[#This Row],[INTEREST]]),"")</f>
        <v>#VALUE!</v>
      </c>
    </row>
    <row r="369" spans="2:11">
      <c r="B369" s="10">
        <f ca="1">IF(LoanIsGood,IF(ROW()-ROW(PaymentSchedule[[#Headers],[PMT NO]])&gt;ScheduledNumberOfPayments,"",ROW()-ROW(PaymentSchedule[[#Headers],[PMT NO]])),"")</f>
        <v>353</v>
      </c>
      <c r="C369" s="12">
        <f ca="1">IF(PaymentSchedule[[#This Row],[PMT NO]]&lt;&gt;"",EOMONTH(LoanStartDate,ROW(PaymentSchedule[[#This Row],[PMT NO]])-ROW(PaymentSchedule[[#Headers],[PMT NO]])-2)+DAY(LoanStartDate),"")</f>
        <v>56675</v>
      </c>
      <c r="D369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69" s="14">
        <f ca="1">IF(PaymentSchedule[[#This Row],[PMT NO]]&lt;&gt;"",ScheduledPayment,"")</f>
        <v>1073.6432460242781</v>
      </c>
      <c r="F369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69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69" s="14" t="e">
        <f ca="1">IF(PaymentSchedule[[#This Row],[PMT NO]]&lt;&gt;"",PaymentSchedule[[#This Row],[TOTAL PAYMENT]]-PaymentSchedule[[#This Row],[INTEREST]],"")</f>
        <v>#VALUE!</v>
      </c>
      <c r="I369" s="14" t="e">
        <f ca="1">IF(PaymentSchedule[[#This Row],[PMT NO]]&lt;&gt;"",PaymentSchedule[[#This Row],[BEGINNING BALANCE]]*(InterestRate/PaymentsPerYear),"")</f>
        <v>#VALUE!</v>
      </c>
      <c r="J369" s="14" t="s">
        <v>32</v>
      </c>
      <c r="K369" s="14" t="e">
        <f ca="1">IF(PaymentSchedule[[#This Row],[PMT NO]]&lt;&gt;"",SUM(INDEX(PaymentSchedule[INTEREST],1,1):PaymentSchedule[[#This Row],[INTEREST]]),"")</f>
        <v>#VALUE!</v>
      </c>
    </row>
    <row r="370" spans="2:11">
      <c r="B370" s="10">
        <f ca="1">IF(LoanIsGood,IF(ROW()-ROW(PaymentSchedule[[#Headers],[PMT NO]])&gt;ScheduledNumberOfPayments,"",ROW()-ROW(PaymentSchedule[[#Headers],[PMT NO]])),"")</f>
        <v>354</v>
      </c>
      <c r="C370" s="12">
        <f ca="1">IF(PaymentSchedule[[#This Row],[PMT NO]]&lt;&gt;"",EOMONTH(LoanStartDate,ROW(PaymentSchedule[[#This Row],[PMT NO]])-ROW(PaymentSchedule[[#Headers],[PMT NO]])-2)+DAY(LoanStartDate),"")</f>
        <v>56706</v>
      </c>
      <c r="D370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0" s="14">
        <f ca="1">IF(PaymentSchedule[[#This Row],[PMT NO]]&lt;&gt;"",ScheduledPayment,"")</f>
        <v>1073.6432460242781</v>
      </c>
      <c r="F370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0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0" s="14" t="e">
        <f ca="1">IF(PaymentSchedule[[#This Row],[PMT NO]]&lt;&gt;"",PaymentSchedule[[#This Row],[TOTAL PAYMENT]]-PaymentSchedule[[#This Row],[INTEREST]],"")</f>
        <v>#VALUE!</v>
      </c>
      <c r="I370" s="14" t="e">
        <f ca="1">IF(PaymentSchedule[[#This Row],[PMT NO]]&lt;&gt;"",PaymentSchedule[[#This Row],[BEGINNING BALANCE]]*(InterestRate/PaymentsPerYear),"")</f>
        <v>#VALUE!</v>
      </c>
      <c r="J370" s="14" t="s">
        <v>32</v>
      </c>
      <c r="K370" s="14" t="e">
        <f ca="1">IF(PaymentSchedule[[#This Row],[PMT NO]]&lt;&gt;"",SUM(INDEX(PaymentSchedule[INTEREST],1,1):PaymentSchedule[[#This Row],[INTEREST]]),"")</f>
        <v>#VALUE!</v>
      </c>
    </row>
    <row r="371" spans="2:11">
      <c r="B371" s="10">
        <f ca="1">IF(LoanIsGood,IF(ROW()-ROW(PaymentSchedule[[#Headers],[PMT NO]])&gt;ScheduledNumberOfPayments,"",ROW()-ROW(PaymentSchedule[[#Headers],[PMT NO]])),"")</f>
        <v>355</v>
      </c>
      <c r="C371" s="12">
        <f ca="1">IF(PaymentSchedule[[#This Row],[PMT NO]]&lt;&gt;"",EOMONTH(LoanStartDate,ROW(PaymentSchedule[[#This Row],[PMT NO]])-ROW(PaymentSchedule[[#Headers],[PMT NO]])-2)+DAY(LoanStartDate),"")</f>
        <v>56736</v>
      </c>
      <c r="D371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1" s="14">
        <f ca="1">IF(PaymentSchedule[[#This Row],[PMT NO]]&lt;&gt;"",ScheduledPayment,"")</f>
        <v>1073.6432460242781</v>
      </c>
      <c r="F371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1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1" s="14" t="e">
        <f ca="1">IF(PaymentSchedule[[#This Row],[PMT NO]]&lt;&gt;"",PaymentSchedule[[#This Row],[TOTAL PAYMENT]]-PaymentSchedule[[#This Row],[INTEREST]],"")</f>
        <v>#VALUE!</v>
      </c>
      <c r="I371" s="14" t="e">
        <f ca="1">IF(PaymentSchedule[[#This Row],[PMT NO]]&lt;&gt;"",PaymentSchedule[[#This Row],[BEGINNING BALANCE]]*(InterestRate/PaymentsPerYear),"")</f>
        <v>#VALUE!</v>
      </c>
      <c r="J371" s="14" t="s">
        <v>32</v>
      </c>
      <c r="K371" s="14" t="e">
        <f ca="1">IF(PaymentSchedule[[#This Row],[PMT NO]]&lt;&gt;"",SUM(INDEX(PaymentSchedule[INTEREST],1,1):PaymentSchedule[[#This Row],[INTEREST]]),"")</f>
        <v>#VALUE!</v>
      </c>
    </row>
    <row r="372" spans="2:11">
      <c r="B372" s="10">
        <f ca="1">IF(LoanIsGood,IF(ROW()-ROW(PaymentSchedule[[#Headers],[PMT NO]])&gt;ScheduledNumberOfPayments,"",ROW()-ROW(PaymentSchedule[[#Headers],[PMT NO]])),"")</f>
        <v>356</v>
      </c>
      <c r="C372" s="12">
        <f ca="1">IF(PaymentSchedule[[#This Row],[PMT NO]]&lt;&gt;"",EOMONTH(LoanStartDate,ROW(PaymentSchedule[[#This Row],[PMT NO]])-ROW(PaymentSchedule[[#Headers],[PMT NO]])-2)+DAY(LoanStartDate),"")</f>
        <v>56767</v>
      </c>
      <c r="D372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2" s="14">
        <f ca="1">IF(PaymentSchedule[[#This Row],[PMT NO]]&lt;&gt;"",ScheduledPayment,"")</f>
        <v>1073.6432460242781</v>
      </c>
      <c r="F372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2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2" s="14" t="e">
        <f ca="1">IF(PaymentSchedule[[#This Row],[PMT NO]]&lt;&gt;"",PaymentSchedule[[#This Row],[TOTAL PAYMENT]]-PaymentSchedule[[#This Row],[INTEREST]],"")</f>
        <v>#VALUE!</v>
      </c>
      <c r="I372" s="14" t="e">
        <f ca="1">IF(PaymentSchedule[[#This Row],[PMT NO]]&lt;&gt;"",PaymentSchedule[[#This Row],[BEGINNING BALANCE]]*(InterestRate/PaymentsPerYear),"")</f>
        <v>#VALUE!</v>
      </c>
      <c r="J372" s="14" t="s">
        <v>32</v>
      </c>
      <c r="K372" s="14" t="e">
        <f ca="1">IF(PaymentSchedule[[#This Row],[PMT NO]]&lt;&gt;"",SUM(INDEX(PaymentSchedule[INTEREST],1,1):PaymentSchedule[[#This Row],[INTEREST]]),"")</f>
        <v>#VALUE!</v>
      </c>
    </row>
    <row r="373" spans="2:11">
      <c r="B373" s="10">
        <f ca="1">IF(LoanIsGood,IF(ROW()-ROW(PaymentSchedule[[#Headers],[PMT NO]])&gt;ScheduledNumberOfPayments,"",ROW()-ROW(PaymentSchedule[[#Headers],[PMT NO]])),"")</f>
        <v>357</v>
      </c>
      <c r="C373" s="12">
        <f ca="1">IF(PaymentSchedule[[#This Row],[PMT NO]]&lt;&gt;"",EOMONTH(LoanStartDate,ROW(PaymentSchedule[[#This Row],[PMT NO]])-ROW(PaymentSchedule[[#Headers],[PMT NO]])-2)+DAY(LoanStartDate),"")</f>
        <v>56797</v>
      </c>
      <c r="D373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3" s="14">
        <f ca="1">IF(PaymentSchedule[[#This Row],[PMT NO]]&lt;&gt;"",ScheduledPayment,"")</f>
        <v>1073.6432460242781</v>
      </c>
      <c r="F373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3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3" s="14" t="e">
        <f ca="1">IF(PaymentSchedule[[#This Row],[PMT NO]]&lt;&gt;"",PaymentSchedule[[#This Row],[TOTAL PAYMENT]]-PaymentSchedule[[#This Row],[INTEREST]],"")</f>
        <v>#VALUE!</v>
      </c>
      <c r="I373" s="14" t="e">
        <f ca="1">IF(PaymentSchedule[[#This Row],[PMT NO]]&lt;&gt;"",PaymentSchedule[[#This Row],[BEGINNING BALANCE]]*(InterestRate/PaymentsPerYear),"")</f>
        <v>#VALUE!</v>
      </c>
      <c r="J373" s="14" t="s">
        <v>32</v>
      </c>
      <c r="K373" s="14" t="e">
        <f ca="1">IF(PaymentSchedule[[#This Row],[PMT NO]]&lt;&gt;"",SUM(INDEX(PaymentSchedule[INTEREST],1,1):PaymentSchedule[[#This Row],[INTEREST]]),"")</f>
        <v>#VALUE!</v>
      </c>
    </row>
    <row r="374" spans="2:11">
      <c r="B374" s="10">
        <f ca="1">IF(LoanIsGood,IF(ROW()-ROW(PaymentSchedule[[#Headers],[PMT NO]])&gt;ScheduledNumberOfPayments,"",ROW()-ROW(PaymentSchedule[[#Headers],[PMT NO]])),"")</f>
        <v>358</v>
      </c>
      <c r="C374" s="12">
        <f ca="1">IF(PaymentSchedule[[#This Row],[PMT NO]]&lt;&gt;"",EOMONTH(LoanStartDate,ROW(PaymentSchedule[[#This Row],[PMT NO]])-ROW(PaymentSchedule[[#Headers],[PMT NO]])-2)+DAY(LoanStartDate),"")</f>
        <v>56828</v>
      </c>
      <c r="D374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4" s="14">
        <f ca="1">IF(PaymentSchedule[[#This Row],[PMT NO]]&lt;&gt;"",ScheduledPayment,"")</f>
        <v>1073.6432460242781</v>
      </c>
      <c r="F374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4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4" s="14" t="e">
        <f ca="1">IF(PaymentSchedule[[#This Row],[PMT NO]]&lt;&gt;"",PaymentSchedule[[#This Row],[TOTAL PAYMENT]]-PaymentSchedule[[#This Row],[INTEREST]],"")</f>
        <v>#VALUE!</v>
      </c>
      <c r="I374" s="14" t="e">
        <f ca="1">IF(PaymentSchedule[[#This Row],[PMT NO]]&lt;&gt;"",PaymentSchedule[[#This Row],[BEGINNING BALANCE]]*(InterestRate/PaymentsPerYear),"")</f>
        <v>#VALUE!</v>
      </c>
      <c r="J374" s="14" t="s">
        <v>32</v>
      </c>
      <c r="K374" s="14" t="e">
        <f ca="1">IF(PaymentSchedule[[#This Row],[PMT NO]]&lt;&gt;"",SUM(INDEX(PaymentSchedule[INTEREST],1,1):PaymentSchedule[[#This Row],[INTEREST]]),"")</f>
        <v>#VALUE!</v>
      </c>
    </row>
    <row r="375" spans="2:11">
      <c r="B375" s="10">
        <f ca="1">IF(LoanIsGood,IF(ROW()-ROW(PaymentSchedule[[#Headers],[PMT NO]])&gt;ScheduledNumberOfPayments,"",ROW()-ROW(PaymentSchedule[[#Headers],[PMT NO]])),"")</f>
        <v>359</v>
      </c>
      <c r="C375" s="12">
        <f ca="1">IF(PaymentSchedule[[#This Row],[PMT NO]]&lt;&gt;"",EOMONTH(LoanStartDate,ROW(PaymentSchedule[[#This Row],[PMT NO]])-ROW(PaymentSchedule[[#Headers],[PMT NO]])-2)+DAY(LoanStartDate),"")</f>
        <v>56859</v>
      </c>
      <c r="D375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5" s="14">
        <f ca="1">IF(PaymentSchedule[[#This Row],[PMT NO]]&lt;&gt;"",ScheduledPayment,"")</f>
        <v>1073.6432460242781</v>
      </c>
      <c r="F375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5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5" s="14" t="e">
        <f ca="1">IF(PaymentSchedule[[#This Row],[PMT NO]]&lt;&gt;"",PaymentSchedule[[#This Row],[TOTAL PAYMENT]]-PaymentSchedule[[#This Row],[INTEREST]],"")</f>
        <v>#VALUE!</v>
      </c>
      <c r="I375" s="14" t="e">
        <f ca="1">IF(PaymentSchedule[[#This Row],[PMT NO]]&lt;&gt;"",PaymentSchedule[[#This Row],[BEGINNING BALANCE]]*(InterestRate/PaymentsPerYear),"")</f>
        <v>#VALUE!</v>
      </c>
      <c r="J375" s="14" t="s">
        <v>32</v>
      </c>
      <c r="K375" s="14" t="e">
        <f ca="1">IF(PaymentSchedule[[#This Row],[PMT NO]]&lt;&gt;"",SUM(INDEX(PaymentSchedule[INTEREST],1,1):PaymentSchedule[[#This Row],[INTEREST]]),"")</f>
        <v>#VALUE!</v>
      </c>
    </row>
    <row r="376" spans="2:11">
      <c r="B376" s="10">
        <f ca="1">IF(LoanIsGood,IF(ROW()-ROW(PaymentSchedule[[#Headers],[PMT NO]])&gt;ScheduledNumberOfPayments,"",ROW()-ROW(PaymentSchedule[[#Headers],[PMT NO]])),"")</f>
        <v>360</v>
      </c>
      <c r="C376" s="12">
        <f ca="1">IF(PaymentSchedule[[#This Row],[PMT NO]]&lt;&gt;"",EOMONTH(LoanStartDate,ROW(PaymentSchedule[[#This Row],[PMT NO]])-ROW(PaymentSchedule[[#Headers],[PMT NO]])-2)+DAY(LoanStartDate),"")</f>
        <v>56889</v>
      </c>
      <c r="D376" s="14" t="str">
        <f ca="1">IF(PaymentSchedule[[#This Row],[PMT NO]]&lt;&gt;"",IF(ROW()-ROW(PaymentSchedule[[#Headers],[BEGINNING BALANCE]])=1,LoanAmount,INDEX(PaymentSchedule[ENDING BALANCE],ROW()-ROW(PaymentSchedule[[#Headers],[BEGINNING BALANCE]])-1)),"")</f>
        <v>=IF([@[[BEGINNING BALANCE]]]&lt;&gt;"",IF([@[SCHEDULED PAYMENT]]+[@[EXTRA PAYMENT]]&lt;=[@[BEGINNING BALANCE]],[@[BEGINNING BALANCE]][@PRINCIPAL],0),"")</v>
      </c>
      <c r="E376" s="14">
        <f ca="1">IF(PaymentSchedule[[#This Row],[PMT NO]]&lt;&gt;"",ScheduledPayment,"")</f>
        <v>1073.6432460242781</v>
      </c>
      <c r="F376" s="14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376" s="14">
        <f ca="1">IF(PaymentSchedule[[#This Row],[BEGINNING BALANCE]]&lt;&gt;"",IF(PaymentSchedule[[#This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1173.6432460242781</v>
      </c>
      <c r="H376" s="14" t="e">
        <f ca="1">IF(PaymentSchedule[[#This Row],[PMT NO]]&lt;&gt;"",PaymentSchedule[[#This Row],[TOTAL PAYMENT]]-PaymentSchedule[[#This Row],[INTEREST]],"")</f>
        <v>#VALUE!</v>
      </c>
      <c r="I376" s="14" t="e">
        <f ca="1">IF(PaymentSchedule[[#This Row],[PMT NO]]&lt;&gt;"",PaymentSchedule[[#This Row],[BEGINNING BALANCE]]*(InterestRate/PaymentsPerYear),"")</f>
        <v>#VALUE!</v>
      </c>
      <c r="J376" s="14" t="s">
        <v>32</v>
      </c>
      <c r="K376" s="14" t="e">
        <f ca="1">IF(PaymentSchedule[[#This Row],[PMT NO]]&lt;&gt;"",SUM(INDEX(PaymentSchedule[INTEREST],1,1):PaymentSchedule[[#This Row],[INTEREST]]),"")</f>
        <v>#VALUE!</v>
      </c>
    </row>
  </sheetData>
  <mergeCells count="12">
    <mergeCell ref="C14:D14"/>
    <mergeCell ref="G8:H8"/>
    <mergeCell ref="G9:H9"/>
    <mergeCell ref="G10:H10"/>
    <mergeCell ref="G11:H11"/>
    <mergeCell ref="G12:H12"/>
    <mergeCell ref="H14:I14"/>
    <mergeCell ref="C8:D8"/>
    <mergeCell ref="C10:D10"/>
    <mergeCell ref="C11:D11"/>
    <mergeCell ref="C12:D12"/>
    <mergeCell ref="G13:H13"/>
  </mergeCells>
  <conditionalFormatting sqref="B17:K376">
    <cfRule type="expression" dxfId="1" priority="1">
      <formula>($B17="")+(($D17=0)*($F17=0))</formula>
    </cfRule>
  </conditionalFormatting>
  <dataValidations count="26">
    <dataValidation allowBlank="1" showInputMessage="1" showErrorMessage="1" prompt="Enter Loan Amount in this cell" sqref="E8" xr:uid="{00000000-0002-0000-0000-000000000000}"/>
    <dataValidation allowBlank="1" showInputMessage="1" showErrorMessage="1" prompt="Enter interest rate to be paid annually in this cell" sqref="E9" xr:uid="{00000000-0002-0000-0000-000001000000}"/>
    <dataValidation allowBlank="1" showInputMessage="1" showErrorMessage="1" prompt="Enter loan period in years in this cell" sqref="E10" xr:uid="{00000000-0002-0000-0000-000002000000}"/>
    <dataValidation allowBlank="1" showInputMessage="1" showErrorMessage="1" prompt="Enter the number of payments to be made in a year in this cell" sqref="E11" xr:uid="{00000000-0002-0000-0000-000003000000}"/>
    <dataValidation allowBlank="1" showInputMessage="1" showErrorMessage="1" prompt="Enter the start date of loan in this cell" sqref="E12" xr:uid="{00000000-0002-0000-0000-000004000000}"/>
    <dataValidation allowBlank="1" showInputMessage="1" showErrorMessage="1" prompt="Enter the amount of extra payment in this cell" sqref="E14" xr:uid="{00000000-0002-0000-0000-000005000000}"/>
    <dataValidation allowBlank="1" showInputMessage="1" showErrorMessage="1" prompt="Automatically calculated total interest" sqref="I13" xr:uid="{00000000-0002-0000-0000-000006000000}"/>
    <dataValidation allowBlank="1" showInputMessage="1" showErrorMessage="1" prompt="Automatically updated scheduled payment amount" sqref="I8" xr:uid="{00000000-0002-0000-0000-000007000000}"/>
    <dataValidation allowBlank="1" showInputMessage="1" showErrorMessage="1" prompt="Automatically updated scheduled number of payments" sqref="I9" xr:uid="{00000000-0002-0000-0000-000008000000}"/>
    <dataValidation allowBlank="1" showInputMessage="1" showErrorMessage="1" prompt="Automatically updated actual number of payments" sqref="I10" xr:uid="{00000000-0002-0000-0000-000009000000}"/>
    <dataValidation allowBlank="1" showInputMessage="1" showErrorMessage="1" prompt="This workbook produces a loan amortization schedule that calculates total interest and total payments &amp; includes the option for extra payments" sqref="A6" xr:uid="{00000000-0002-0000-0000-00000A000000}"/>
    <dataValidation allowBlank="1" showInputMessage="1" showErrorMessage="1" prompt="Enter loan values in cells E3 to E7 and E9. Description of each loan value is in column C. Payment Schedule table starting in cell B11 will automatically update" sqref="C7" xr:uid="{00000000-0002-0000-0000-00000B000000}"/>
    <dataValidation allowBlank="1" showInputMessage="1" showErrorMessage="1" prompt="Loan Summary fields from I3 to I7 are automatically adjusted based on the values entered. Enter the Lender's name in I9" sqref="G7" xr:uid="{00000000-0002-0000-0000-00000C000000}"/>
    <dataValidation allowBlank="1" showInputMessage="1" showErrorMessage="1" prompt="Worksheet title is in this cell. Enter loan values in cells E3 to E7 &amp; extra payments in cell E9, loan summary in column I &amp; Payment Schedule table will automatically update" sqref="B6" xr:uid="{00000000-0002-0000-0000-00000D000000}"/>
    <dataValidation allowBlank="1" showInputMessage="1" showErrorMessage="1" prompt="Automatically updated total early payments" sqref="I11:I12" xr:uid="{00000000-0002-0000-0000-00000E000000}"/>
    <dataValidation allowBlank="1" showInputMessage="1" showErrorMessage="1" prompt="Payment number is automatically updated in this column" sqref="B16" xr:uid="{00000000-0002-0000-0000-00000F000000}"/>
    <dataValidation allowBlank="1" showInputMessage="1" showErrorMessage="1" prompt="Payment date is automatically updated in this column" sqref="C16" xr:uid="{00000000-0002-0000-0000-000010000000}"/>
    <dataValidation allowBlank="1" showInputMessage="1" showErrorMessage="1" prompt="Beginning balance is automatically updated in this column" sqref="D16" xr:uid="{00000000-0002-0000-0000-000011000000}"/>
    <dataValidation allowBlank="1" showInputMessage="1" showErrorMessage="1" prompt="Scheduled payment is automatically updated in this column" sqref="E16" xr:uid="{00000000-0002-0000-0000-000012000000}"/>
    <dataValidation allowBlank="1" showInputMessage="1" showErrorMessage="1" prompt="Extra payment is automatically updated in this column" sqref="F16" xr:uid="{00000000-0002-0000-0000-000013000000}"/>
    <dataValidation allowBlank="1" showInputMessage="1" showErrorMessage="1" prompt="Total payment is automatically updated in this column" sqref="G16" xr:uid="{00000000-0002-0000-0000-000014000000}"/>
    <dataValidation allowBlank="1" showInputMessage="1" showErrorMessage="1" prompt="Principal is automatically updated in this column" sqref="H16" xr:uid="{00000000-0002-0000-0000-000015000000}"/>
    <dataValidation allowBlank="1" showInputMessage="1" showErrorMessage="1" prompt="Interest is automatically updated in this column" sqref="I16" xr:uid="{00000000-0002-0000-0000-000016000000}"/>
    <dataValidation allowBlank="1" showInputMessage="1" showErrorMessage="1" prompt="Ending balance is automatically updated in this column" sqref="J16" xr:uid="{00000000-0002-0000-0000-000017000000}"/>
    <dataValidation allowBlank="1" showInputMessage="1" showErrorMessage="1" prompt="Cumulative interest is automatically updated in this column" sqref="K16" xr:uid="{00000000-0002-0000-0000-000018000000}"/>
    <dataValidation allowBlank="1" showInputMessage="1" showErrorMessage="1" prompt="Enter the name of the lender in this cell" sqref="H14:I14" xr:uid="{00000000-0002-0000-0000-000019000000}"/>
  </dataValidations>
  <hyperlinks>
    <hyperlink ref="D9" r:id="rId1" display="[SEE CURRENT]" xr:uid="{AE0F5BA1-7A24-411E-A0AE-F1949CB97428}"/>
    <hyperlink ref="I4" r:id="rId2" xr:uid="{F16CFBA0-BC5C-4AAD-81FF-37DB682F3D04}"/>
  </hyperlinks>
  <printOptions horizontalCentered="1"/>
  <pageMargins left="0.4" right="0.4" top="0.4" bottom="0.5" header="0.3" footer="0.3"/>
  <pageSetup scale="79" fitToHeight="0" orientation="landscape" r:id="rId3"/>
  <headerFooter differentFirst="1">
    <oddFooter>Page &amp;P of &amp;N</oddFooter>
  </headerFooter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MortgageCalculator.org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Excel Mortgage Calculator With Extra Payments</dc:title>
  <dc:subject>Calculate mortgage payments quickly and easily. Includes extra payments option.</dc:subject>
  <dc:creator>MortgageCalculator.org</dc:creator>
  <cp:keywords>mortgage; home loans; amortization</cp:keywords>
  <dc:description>web-ready Excel template to calculate montly mortgage payments with amortization schedule and extra payments.</dc:description>
  <cp:lastModifiedBy>H Nidhal</cp:lastModifiedBy>
  <cp:revision>1</cp:revision>
  <dcterms:created xsi:type="dcterms:W3CDTF">2023-12-30T00:46:15Z</dcterms:created>
  <dcterms:modified xsi:type="dcterms:W3CDTF">2025-11-02T00:46:55Z</dcterms:modified>
  <cp:category>mortgage;home loans;amortization</cp:category>
  <cp:contentStatus/>
</cp:coreProperties>
</file>